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quynhtram/Downloads/"/>
    </mc:Choice>
  </mc:AlternateContent>
  <xr:revisionPtr revIDLastSave="0" documentId="8_{CBD3CB08-645A-4C40-8CA7-98A50F758A67}" xr6:coauthVersionLast="47" xr6:coauthVersionMax="47" xr10:uidLastSave="{00000000-0000-0000-0000-000000000000}"/>
  <bookViews>
    <workbookView xWindow="140" yWindow="520" windowWidth="28660" windowHeight="17500" activeTab="1" xr2:uid="{0B9A02A6-1C85-6747-87F5-886BB6167BC7}"/>
  </bookViews>
  <sheets>
    <sheet name="câu 1-6" sheetId="1" r:id="rId1"/>
    <sheet name="câu 7"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90" i="2" l="1"/>
  <c r="D213" i="2" s="1"/>
  <c r="B202" i="1"/>
  <c r="C140" i="2"/>
  <c r="C58" i="2"/>
  <c r="D93" i="2"/>
  <c r="H213" i="2" l="1"/>
  <c r="V213" i="2"/>
  <c r="R213" i="2"/>
  <c r="Z213" i="2"/>
  <c r="AD213" i="2"/>
  <c r="N213" i="2"/>
  <c r="J213" i="2"/>
  <c r="AE213" i="2"/>
  <c r="AA213" i="2"/>
  <c r="W213" i="2"/>
  <c r="S213" i="2"/>
  <c r="O213" i="2"/>
  <c r="K213" i="2"/>
  <c r="G213" i="2"/>
  <c r="F213" i="2"/>
  <c r="E213" i="2"/>
  <c r="C213" i="2"/>
  <c r="AC213" i="2"/>
  <c r="Y213" i="2"/>
  <c r="U213" i="2"/>
  <c r="Q213" i="2"/>
  <c r="M213" i="2"/>
  <c r="I213" i="2"/>
  <c r="AF213" i="2"/>
  <c r="AB213" i="2"/>
  <c r="X213" i="2"/>
  <c r="T213" i="2"/>
  <c r="P213" i="2"/>
  <c r="L213" i="2"/>
  <c r="B239" i="2"/>
  <c r="C238" i="2"/>
  <c r="C214" i="2" l="1"/>
  <c r="D232" i="2" l="1"/>
  <c r="E232" i="2" s="1"/>
  <c r="D233" i="2"/>
  <c r="E233" i="2" s="1"/>
  <c r="F233" i="2" s="1"/>
  <c r="G233" i="2" s="1"/>
  <c r="H233" i="2" s="1"/>
  <c r="I233" i="2" s="1"/>
  <c r="J233" i="2" s="1"/>
  <c r="K233" i="2" s="1"/>
  <c r="L233" i="2" s="1"/>
  <c r="M233" i="2" s="1"/>
  <c r="N233" i="2" s="1"/>
  <c r="O233" i="2" s="1"/>
  <c r="P233" i="2" s="1"/>
  <c r="Q233" i="2" s="1"/>
  <c r="R233" i="2" s="1"/>
  <c r="S233" i="2" s="1"/>
  <c r="T233" i="2" s="1"/>
  <c r="U233" i="2" s="1"/>
  <c r="V233" i="2" s="1"/>
  <c r="W233" i="2" s="1"/>
  <c r="X233" i="2" s="1"/>
  <c r="Y233" i="2" s="1"/>
  <c r="Z233" i="2" s="1"/>
  <c r="AA233" i="2" s="1"/>
  <c r="AB233" i="2" s="1"/>
  <c r="AC233" i="2" s="1"/>
  <c r="AD233" i="2" s="1"/>
  <c r="AE233" i="2" s="1"/>
  <c r="AF233" i="2" s="1"/>
  <c r="C234" i="2"/>
  <c r="C95" i="2"/>
  <c r="D94" i="2"/>
  <c r="E94" i="2" s="1"/>
  <c r="F94" i="2" s="1"/>
  <c r="G94" i="2" s="1"/>
  <c r="H94" i="2" s="1"/>
  <c r="I94" i="2" s="1"/>
  <c r="J94" i="2" s="1"/>
  <c r="K94" i="2" s="1"/>
  <c r="L94" i="2" s="1"/>
  <c r="M94" i="2" s="1"/>
  <c r="N94" i="2" s="1"/>
  <c r="O94" i="2" s="1"/>
  <c r="P94" i="2" s="1"/>
  <c r="Q94" i="2" s="1"/>
  <c r="R94" i="2" s="1"/>
  <c r="S94" i="2" s="1"/>
  <c r="T94" i="2" s="1"/>
  <c r="U94" i="2" s="1"/>
  <c r="V94" i="2" s="1"/>
  <c r="W94" i="2" s="1"/>
  <c r="X94" i="2" s="1"/>
  <c r="Y94" i="2" s="1"/>
  <c r="Z94" i="2" s="1"/>
  <c r="AA94" i="2" s="1"/>
  <c r="AB94" i="2" s="1"/>
  <c r="AC94" i="2" s="1"/>
  <c r="AD94" i="2" s="1"/>
  <c r="AE94" i="2" s="1"/>
  <c r="AF94" i="2" s="1"/>
  <c r="AF209" i="2"/>
  <c r="AE209" i="2"/>
  <c r="AD209" i="2"/>
  <c r="AC209" i="2"/>
  <c r="AB209" i="2"/>
  <c r="AA209" i="2"/>
  <c r="Z209" i="2"/>
  <c r="Y209" i="2"/>
  <c r="X209" i="2"/>
  <c r="W209" i="2"/>
  <c r="V209" i="2"/>
  <c r="U209" i="2"/>
  <c r="T209" i="2"/>
  <c r="AF185" i="2"/>
  <c r="AE185" i="2"/>
  <c r="AD185" i="2"/>
  <c r="AC185" i="2"/>
  <c r="AB185" i="2"/>
  <c r="AA185" i="2"/>
  <c r="Z185" i="2"/>
  <c r="Y185" i="2"/>
  <c r="X185" i="2"/>
  <c r="W185" i="2"/>
  <c r="V185" i="2"/>
  <c r="U185" i="2"/>
  <c r="T185" i="2"/>
  <c r="AF183" i="2"/>
  <c r="AE183" i="2"/>
  <c r="E143" i="2"/>
  <c r="D143" i="2"/>
  <c r="C143" i="2"/>
  <c r="C103" i="2"/>
  <c r="C101" i="2"/>
  <c r="C98" i="2"/>
  <c r="R159" i="2" s="1"/>
  <c r="C84" i="2"/>
  <c r="C83" i="2"/>
  <c r="G76" i="2"/>
  <c r="H76" i="2" s="1"/>
  <c r="I76" i="2" s="1"/>
  <c r="C74" i="2"/>
  <c r="C160" i="2" s="1"/>
  <c r="C161" i="2" s="1"/>
  <c r="C38" i="2"/>
  <c r="C25" i="2"/>
  <c r="C20" i="2"/>
  <c r="C9" i="2"/>
  <c r="T196" i="1"/>
  <c r="U196" i="1"/>
  <c r="V196" i="1"/>
  <c r="W196" i="1"/>
  <c r="X196" i="1"/>
  <c r="Y196" i="1"/>
  <c r="Z196" i="1"/>
  <c r="AA196" i="1"/>
  <c r="AB196" i="1"/>
  <c r="AC196" i="1"/>
  <c r="AD196" i="1"/>
  <c r="AE196" i="1"/>
  <c r="AF196" i="1"/>
  <c r="D234" i="2" l="1"/>
  <c r="E234" i="2"/>
  <c r="F232" i="2"/>
  <c r="D160" i="2"/>
  <c r="D95" i="2"/>
  <c r="D121" i="2"/>
  <c r="E93" i="2"/>
  <c r="E121" i="2" s="1"/>
  <c r="L159" i="2"/>
  <c r="V159" i="2"/>
  <c r="Q159" i="2"/>
  <c r="F159" i="2"/>
  <c r="AB159" i="2"/>
  <c r="AE159" i="2"/>
  <c r="AA159" i="2"/>
  <c r="W159" i="2"/>
  <c r="S159" i="2"/>
  <c r="O159" i="2"/>
  <c r="K159" i="2"/>
  <c r="G159" i="2"/>
  <c r="C159" i="2"/>
  <c r="C162" i="2" s="1"/>
  <c r="C163" i="2" s="1"/>
  <c r="H159" i="2"/>
  <c r="AC159" i="2"/>
  <c r="M159" i="2"/>
  <c r="X159" i="2"/>
  <c r="C99" i="2"/>
  <c r="C121" i="2"/>
  <c r="D159" i="2"/>
  <c r="I159" i="2"/>
  <c r="N159" i="2"/>
  <c r="T159" i="2"/>
  <c r="Y159" i="2"/>
  <c r="AD159" i="2"/>
  <c r="E159" i="2"/>
  <c r="J159" i="2"/>
  <c r="P159" i="2"/>
  <c r="U159" i="2"/>
  <c r="Z159" i="2"/>
  <c r="AF159" i="2"/>
  <c r="D161" i="2" l="1"/>
  <c r="F234" i="2"/>
  <c r="G232" i="2"/>
  <c r="E160" i="2"/>
  <c r="E162" i="2" s="1"/>
  <c r="E163" i="2" s="1"/>
  <c r="D162" i="2"/>
  <c r="D163" i="2" s="1"/>
  <c r="F93" i="2"/>
  <c r="E95" i="2"/>
  <c r="C100" i="2"/>
  <c r="C102" i="2"/>
  <c r="C119" i="2" l="1"/>
  <c r="C104" i="2"/>
  <c r="H232" i="2"/>
  <c r="G234" i="2"/>
  <c r="E161" i="2"/>
  <c r="F175" i="2"/>
  <c r="F199" i="2" s="1"/>
  <c r="F160" i="2"/>
  <c r="D120" i="2"/>
  <c r="E120" i="2"/>
  <c r="E119" i="2"/>
  <c r="D119" i="2"/>
  <c r="G93" i="2"/>
  <c r="F95" i="2"/>
  <c r="C120" i="2"/>
  <c r="H234" i="2" l="1"/>
  <c r="I232" i="2"/>
  <c r="F161" i="2"/>
  <c r="F162" i="2"/>
  <c r="F163" i="2" s="1"/>
  <c r="F164" i="2" s="1"/>
  <c r="G175" i="2"/>
  <c r="G199" i="2" s="1"/>
  <c r="G160" i="2"/>
  <c r="G95" i="2"/>
  <c r="H93" i="2"/>
  <c r="AC150" i="2"/>
  <c r="Y150" i="2"/>
  <c r="U150" i="2"/>
  <c r="Q150" i="2"/>
  <c r="M150" i="2"/>
  <c r="I150" i="2"/>
  <c r="AD150" i="2"/>
  <c r="X150" i="2"/>
  <c r="S150" i="2"/>
  <c r="N150" i="2"/>
  <c r="H150" i="2"/>
  <c r="AB150" i="2"/>
  <c r="W150" i="2"/>
  <c r="R150" i="2"/>
  <c r="L150" i="2"/>
  <c r="G150" i="2"/>
  <c r="V150" i="2"/>
  <c r="K150" i="2"/>
  <c r="AA150" i="2"/>
  <c r="F150" i="2"/>
  <c r="P150" i="2"/>
  <c r="O150" i="2"/>
  <c r="J150" i="2"/>
  <c r="Z150" i="2"/>
  <c r="T150" i="2"/>
  <c r="H151" i="2"/>
  <c r="J151" i="2"/>
  <c r="I151" i="2"/>
  <c r="G151" i="2"/>
  <c r="F151" i="2"/>
  <c r="C110" i="2"/>
  <c r="C113" i="2"/>
  <c r="E129" i="2" s="1"/>
  <c r="C108" i="2"/>
  <c r="D124" i="2" s="1"/>
  <c r="C112" i="2"/>
  <c r="C107" i="2"/>
  <c r="D123" i="2" s="1"/>
  <c r="C111" i="2"/>
  <c r="C109" i="2"/>
  <c r="D125" i="2" s="1"/>
  <c r="I234" i="2" l="1"/>
  <c r="J232" i="2"/>
  <c r="G161" i="2"/>
  <c r="G162" i="2"/>
  <c r="H175" i="2"/>
  <c r="H199" i="2" s="1"/>
  <c r="H160" i="2"/>
  <c r="F167" i="2"/>
  <c r="F180" i="2"/>
  <c r="F194" i="2" s="1"/>
  <c r="F168" i="2"/>
  <c r="D128" i="2"/>
  <c r="E128" i="2"/>
  <c r="E127" i="2"/>
  <c r="D127" i="2"/>
  <c r="D129" i="2"/>
  <c r="D126" i="2"/>
  <c r="E126" i="2"/>
  <c r="H95" i="2"/>
  <c r="I93" i="2"/>
  <c r="C124" i="2"/>
  <c r="E124" i="2"/>
  <c r="E125" i="2"/>
  <c r="C125" i="2"/>
  <c r="C127" i="2"/>
  <c r="C123" i="2"/>
  <c r="E123" i="2"/>
  <c r="C126" i="2"/>
  <c r="C129" i="2"/>
  <c r="C128" i="2"/>
  <c r="C114" i="2"/>
  <c r="E130" i="2" l="1"/>
  <c r="E202" i="2" s="1"/>
  <c r="E203" i="2" s="1"/>
  <c r="C130" i="2"/>
  <c r="J234" i="2"/>
  <c r="K232" i="2"/>
  <c r="F196" i="2"/>
  <c r="I175" i="2"/>
  <c r="I199" i="2" s="1"/>
  <c r="I160" i="2"/>
  <c r="H161" i="2"/>
  <c r="H162" i="2"/>
  <c r="H163" i="2" s="1"/>
  <c r="H164" i="2" s="1"/>
  <c r="G163" i="2"/>
  <c r="G164" i="2" s="1"/>
  <c r="J93" i="2"/>
  <c r="I95" i="2"/>
  <c r="D130" i="2"/>
  <c r="C115" i="2"/>
  <c r="C116" i="2" s="1"/>
  <c r="H169" i="2"/>
  <c r="G169" i="2"/>
  <c r="F169" i="2"/>
  <c r="F170" i="2" s="1"/>
  <c r="F171" i="2" l="1"/>
  <c r="C131" i="2"/>
  <c r="L232" i="2"/>
  <c r="K234" i="2"/>
  <c r="G168" i="2"/>
  <c r="G180" i="2"/>
  <c r="G194" i="2" s="1"/>
  <c r="G167" i="2"/>
  <c r="J175" i="2"/>
  <c r="J199" i="2" s="1"/>
  <c r="J160" i="2"/>
  <c r="H167" i="2"/>
  <c r="H180" i="2"/>
  <c r="H194" i="2" s="1"/>
  <c r="H168" i="2"/>
  <c r="I161" i="2"/>
  <c r="I162" i="2"/>
  <c r="I163" i="2" s="1"/>
  <c r="I164" i="2" s="1"/>
  <c r="E134" i="2"/>
  <c r="K93" i="2"/>
  <c r="J95" i="2"/>
  <c r="E135" i="2"/>
  <c r="E139" i="2" s="1"/>
  <c r="E145" i="2" s="1"/>
  <c r="E205" i="2" s="1"/>
  <c r="D202" i="2"/>
  <c r="D203" i="2" s="1"/>
  <c r="D135" i="2"/>
  <c r="D139" i="2" s="1"/>
  <c r="D145" i="2" s="1"/>
  <c r="D134" i="2"/>
  <c r="C135" i="2"/>
  <c r="C139" i="2" s="1"/>
  <c r="C134" i="2"/>
  <c r="C202" i="2"/>
  <c r="C203" i="2" s="1"/>
  <c r="G196" i="2" l="1"/>
  <c r="M232" i="2"/>
  <c r="L234" i="2"/>
  <c r="H196" i="2"/>
  <c r="J161" i="2"/>
  <c r="J162" i="2"/>
  <c r="J163" i="2" s="1"/>
  <c r="J164" i="2" s="1"/>
  <c r="G170" i="2"/>
  <c r="G171" i="2" s="1"/>
  <c r="G173" i="2" s="1"/>
  <c r="H170" i="2"/>
  <c r="H171" i="2" s="1"/>
  <c r="H174" i="2" s="1"/>
  <c r="H198" i="2" s="1"/>
  <c r="I168" i="2"/>
  <c r="I180" i="2"/>
  <c r="I194" i="2" s="1"/>
  <c r="I167" i="2"/>
  <c r="K175" i="2"/>
  <c r="K199" i="2" s="1"/>
  <c r="K160" i="2"/>
  <c r="K95" i="2"/>
  <c r="L93" i="2"/>
  <c r="E217" i="2"/>
  <c r="C144" i="2"/>
  <c r="C145" i="2"/>
  <c r="C217" i="2" s="1"/>
  <c r="F174" i="2"/>
  <c r="F198" i="2" s="1"/>
  <c r="F173" i="2"/>
  <c r="F176" i="2" s="1"/>
  <c r="D205" i="2"/>
  <c r="D217" i="2"/>
  <c r="H173" i="2" l="1"/>
  <c r="M234" i="2"/>
  <c r="N232" i="2"/>
  <c r="G174" i="2"/>
  <c r="G198" i="2" s="1"/>
  <c r="L175" i="2"/>
  <c r="L160" i="2"/>
  <c r="I170" i="2"/>
  <c r="I196" i="2"/>
  <c r="K161" i="2"/>
  <c r="K162" i="2"/>
  <c r="K163" i="2" s="1"/>
  <c r="K164" i="2" s="1"/>
  <c r="J180" i="2"/>
  <c r="J194" i="2" s="1"/>
  <c r="J167" i="2"/>
  <c r="J168" i="2"/>
  <c r="L199" i="2"/>
  <c r="L95" i="2"/>
  <c r="M93" i="2"/>
  <c r="C205" i="2"/>
  <c r="U210" i="2" s="1"/>
  <c r="F197" i="2"/>
  <c r="F181" i="2"/>
  <c r="F182" i="2" s="1"/>
  <c r="C209" i="2"/>
  <c r="D138" i="2"/>
  <c r="D140" i="2" s="1"/>
  <c r="H197" i="2"/>
  <c r="H176" i="2"/>
  <c r="H181" i="2" s="1"/>
  <c r="H182" i="2" s="1"/>
  <c r="G197" i="2"/>
  <c r="G176" i="2" l="1"/>
  <c r="G181" i="2" s="1"/>
  <c r="G182" i="2" s="1"/>
  <c r="O232" i="2"/>
  <c r="N234" i="2"/>
  <c r="J170" i="2"/>
  <c r="J196" i="2"/>
  <c r="I171" i="2"/>
  <c r="M175" i="2"/>
  <c r="M199" i="2" s="1"/>
  <c r="M160" i="2"/>
  <c r="K180" i="2"/>
  <c r="K194" i="2" s="1"/>
  <c r="K167" i="2"/>
  <c r="K168" i="2"/>
  <c r="L161" i="2"/>
  <c r="L162" i="2"/>
  <c r="L163" i="2" s="1"/>
  <c r="L164" i="2" s="1"/>
  <c r="Z210" i="2"/>
  <c r="Z212" i="2" s="1"/>
  <c r="G210" i="2"/>
  <c r="N93" i="2"/>
  <c r="M95" i="2"/>
  <c r="W210" i="2"/>
  <c r="W212" i="2" s="1"/>
  <c r="R210" i="2"/>
  <c r="H210" i="2"/>
  <c r="X210" i="2"/>
  <c r="X212" i="2" s="1"/>
  <c r="I210" i="2"/>
  <c r="Y210" i="2"/>
  <c r="Y211" i="2" s="1"/>
  <c r="V210" i="2"/>
  <c r="V212" i="2" s="1"/>
  <c r="N210" i="2"/>
  <c r="K210" i="2"/>
  <c r="AA210" i="2"/>
  <c r="AA211" i="2" s="1"/>
  <c r="L210" i="2"/>
  <c r="AB210" i="2"/>
  <c r="AB212" i="2" s="1"/>
  <c r="M210" i="2"/>
  <c r="AC210" i="2"/>
  <c r="AC211" i="2" s="1"/>
  <c r="Q210" i="2"/>
  <c r="F210" i="2"/>
  <c r="AD210" i="2"/>
  <c r="AD212" i="2" s="1"/>
  <c r="O210" i="2"/>
  <c r="AE210" i="2"/>
  <c r="AE212" i="2" s="1"/>
  <c r="P210" i="2"/>
  <c r="AF210" i="2"/>
  <c r="AF212" i="2" s="1"/>
  <c r="J210" i="2"/>
  <c r="C210" i="2"/>
  <c r="C212" i="2" s="1"/>
  <c r="S210" i="2"/>
  <c r="D210" i="2"/>
  <c r="T210" i="2"/>
  <c r="T212" i="2" s="1"/>
  <c r="E210" i="2"/>
  <c r="D144" i="2"/>
  <c r="U212" i="2"/>
  <c r="U211" i="2"/>
  <c r="P232" i="2" l="1"/>
  <c r="O234" i="2"/>
  <c r="L168" i="2"/>
  <c r="L180" i="2"/>
  <c r="L194" i="2" s="1"/>
  <c r="L167" i="2"/>
  <c r="K196" i="2"/>
  <c r="K170" i="2"/>
  <c r="I174" i="2"/>
  <c r="I198" i="2" s="1"/>
  <c r="I173" i="2"/>
  <c r="M161" i="2"/>
  <c r="M162" i="2"/>
  <c r="M163" i="2" s="1"/>
  <c r="M164" i="2" s="1"/>
  <c r="N175" i="2"/>
  <c r="N199" i="2" s="1"/>
  <c r="N160" i="2"/>
  <c r="J171" i="2"/>
  <c r="Z211" i="2"/>
  <c r="AE211" i="2"/>
  <c r="W211" i="2"/>
  <c r="O93" i="2"/>
  <c r="N95" i="2"/>
  <c r="AD211" i="2"/>
  <c r="X211" i="2"/>
  <c r="V211" i="2"/>
  <c r="AC212" i="2"/>
  <c r="Y212" i="2"/>
  <c r="AF211" i="2"/>
  <c r="AB211" i="2"/>
  <c r="C211" i="2"/>
  <c r="AA212" i="2"/>
  <c r="T211" i="2"/>
  <c r="E138" i="2"/>
  <c r="E140" i="2" s="1"/>
  <c r="C146" i="2" s="1"/>
  <c r="D209" i="2"/>
  <c r="Q232" i="2" l="1"/>
  <c r="P234" i="2"/>
  <c r="O175" i="2"/>
  <c r="O199" i="2" s="1"/>
  <c r="O160" i="2"/>
  <c r="N161" i="2"/>
  <c r="N162" i="2"/>
  <c r="N163" i="2" s="1"/>
  <c r="N164" i="2" s="1"/>
  <c r="I197" i="2"/>
  <c r="I176" i="2"/>
  <c r="I181" i="2" s="1"/>
  <c r="I182" i="2" s="1"/>
  <c r="L170" i="2"/>
  <c r="L196" i="2"/>
  <c r="J173" i="2"/>
  <c r="J174" i="2"/>
  <c r="J198" i="2" s="1"/>
  <c r="M168" i="2"/>
  <c r="M167" i="2"/>
  <c r="M180" i="2"/>
  <c r="M194" i="2" s="1"/>
  <c r="K171" i="2"/>
  <c r="O95" i="2"/>
  <c r="P93" i="2"/>
  <c r="D211" i="2"/>
  <c r="D212" i="2"/>
  <c r="Q234" i="2" l="1"/>
  <c r="R232" i="2"/>
  <c r="K173" i="2"/>
  <c r="K174" i="2"/>
  <c r="K198" i="2" s="1"/>
  <c r="N168" i="2"/>
  <c r="N167" i="2"/>
  <c r="N180" i="2"/>
  <c r="N194" i="2" s="1"/>
  <c r="P175" i="2"/>
  <c r="P199" i="2" s="1"/>
  <c r="P160" i="2"/>
  <c r="M170" i="2"/>
  <c r="M196" i="2"/>
  <c r="L171" i="2"/>
  <c r="O161" i="2"/>
  <c r="O162" i="2"/>
  <c r="O163" i="2" s="1"/>
  <c r="O164" i="2" s="1"/>
  <c r="J197" i="2"/>
  <c r="J176" i="2"/>
  <c r="J181" i="2" s="1"/>
  <c r="J182" i="2" s="1"/>
  <c r="P95" i="2"/>
  <c r="Q93" i="2"/>
  <c r="Z152" i="2"/>
  <c r="Z154" i="2" s="1"/>
  <c r="Z183" i="2" s="1"/>
  <c r="V152" i="2"/>
  <c r="V154" i="2" s="1"/>
  <c r="V183" i="2" s="1"/>
  <c r="J152" i="2"/>
  <c r="J154" i="2" s="1"/>
  <c r="J183" i="2" s="1"/>
  <c r="Y152" i="2"/>
  <c r="Y154" i="2" s="1"/>
  <c r="Y183" i="2" s="1"/>
  <c r="K152" i="2"/>
  <c r="K154" i="2" s="1"/>
  <c r="K183" i="2" s="1"/>
  <c r="N152" i="2"/>
  <c r="N154" i="2" s="1"/>
  <c r="N183" i="2" s="1"/>
  <c r="F152" i="2"/>
  <c r="F154" i="2" s="1"/>
  <c r="F183" i="2" s="1"/>
  <c r="F184" i="2" s="1"/>
  <c r="I152" i="2"/>
  <c r="I154" i="2" s="1"/>
  <c r="I183" i="2" s="1"/>
  <c r="I184" i="2" s="1"/>
  <c r="O152" i="2"/>
  <c r="O154" i="2" s="1"/>
  <c r="O183" i="2" s="1"/>
  <c r="L152" i="2"/>
  <c r="L154" i="2" s="1"/>
  <c r="L183" i="2" s="1"/>
  <c r="R152" i="2"/>
  <c r="R154" i="2" s="1"/>
  <c r="R183" i="2" s="1"/>
  <c r="U152" i="2"/>
  <c r="U154" i="2" s="1"/>
  <c r="U183" i="2" s="1"/>
  <c r="G152" i="2"/>
  <c r="G154" i="2" s="1"/>
  <c r="G183" i="2" s="1"/>
  <c r="G184" i="2" s="1"/>
  <c r="AD152" i="2"/>
  <c r="AD154" i="2" s="1"/>
  <c r="AD183" i="2" s="1"/>
  <c r="AA152" i="2"/>
  <c r="AA154" i="2" s="1"/>
  <c r="AA183" i="2" s="1"/>
  <c r="H152" i="2"/>
  <c r="H154" i="2" s="1"/>
  <c r="H183" i="2" s="1"/>
  <c r="H184" i="2" s="1"/>
  <c r="X152" i="2"/>
  <c r="X154" i="2" s="1"/>
  <c r="X183" i="2" s="1"/>
  <c r="T152" i="2"/>
  <c r="T154" i="2" s="1"/>
  <c r="T183" i="2" s="1"/>
  <c r="F153" i="2"/>
  <c r="P152" i="2"/>
  <c r="P154" i="2" s="1"/>
  <c r="P183" i="2" s="1"/>
  <c r="AC152" i="2"/>
  <c r="AC154" i="2" s="1"/>
  <c r="AC183" i="2" s="1"/>
  <c r="AB152" i="2"/>
  <c r="AB154" i="2" s="1"/>
  <c r="AB183" i="2" s="1"/>
  <c r="S152" i="2"/>
  <c r="S154" i="2" s="1"/>
  <c r="S183" i="2" s="1"/>
  <c r="M152" i="2"/>
  <c r="M154" i="2" s="1"/>
  <c r="M183" i="2" s="1"/>
  <c r="Q152" i="2"/>
  <c r="Q154" i="2" s="1"/>
  <c r="Q183" i="2" s="1"/>
  <c r="W152" i="2"/>
  <c r="W154" i="2" s="1"/>
  <c r="W183" i="2" s="1"/>
  <c r="E144" i="2"/>
  <c r="S232" i="2" l="1"/>
  <c r="R234" i="2"/>
  <c r="J184" i="2"/>
  <c r="O180" i="2"/>
  <c r="O194" i="2" s="1"/>
  <c r="O168" i="2"/>
  <c r="O167" i="2"/>
  <c r="Q175" i="2"/>
  <c r="Q199" i="2" s="1"/>
  <c r="Q160" i="2"/>
  <c r="L174" i="2"/>
  <c r="L198" i="2" s="1"/>
  <c r="L173" i="2"/>
  <c r="P161" i="2"/>
  <c r="P162" i="2"/>
  <c r="P163" i="2" s="1"/>
  <c r="P164" i="2" s="1"/>
  <c r="N196" i="2"/>
  <c r="N170" i="2"/>
  <c r="M171" i="2"/>
  <c r="K197" i="2"/>
  <c r="K176" i="2"/>
  <c r="K181" i="2" s="1"/>
  <c r="K182" i="2" s="1"/>
  <c r="K184" i="2" s="1"/>
  <c r="R93" i="2"/>
  <c r="Q95" i="2"/>
  <c r="F155" i="2"/>
  <c r="G153" i="2" s="1"/>
  <c r="G155" i="2" s="1"/>
  <c r="E209" i="2"/>
  <c r="F138" i="2"/>
  <c r="F141" i="2" s="1"/>
  <c r="T232" i="2" l="1"/>
  <c r="S234" i="2"/>
  <c r="Q161" i="2"/>
  <c r="Q162" i="2"/>
  <c r="Q163" i="2" s="1"/>
  <c r="Q164" i="2" s="1"/>
  <c r="R175" i="2"/>
  <c r="R160" i="2"/>
  <c r="P167" i="2"/>
  <c r="P168" i="2"/>
  <c r="P180" i="2"/>
  <c r="P194" i="2" s="1"/>
  <c r="O196" i="2"/>
  <c r="O170" i="2"/>
  <c r="M174" i="2"/>
  <c r="M198" i="2" s="1"/>
  <c r="M173" i="2"/>
  <c r="N171" i="2"/>
  <c r="L197" i="2"/>
  <c r="L176" i="2"/>
  <c r="L181" i="2" s="1"/>
  <c r="L182" i="2" s="1"/>
  <c r="L184" i="2" s="1"/>
  <c r="R199" i="2"/>
  <c r="S93" i="2"/>
  <c r="R95" i="2"/>
  <c r="F156" i="2"/>
  <c r="G156" i="2"/>
  <c r="H153" i="2"/>
  <c r="H155" i="2" s="1"/>
  <c r="S142" i="2"/>
  <c r="O142" i="2"/>
  <c r="K142" i="2"/>
  <c r="P142" i="2"/>
  <c r="J142" i="2"/>
  <c r="N142" i="2"/>
  <c r="R142" i="2"/>
  <c r="M142" i="2"/>
  <c r="F144" i="2"/>
  <c r="Q142" i="2"/>
  <c r="L142" i="2"/>
  <c r="E211" i="2"/>
  <c r="E212" i="2"/>
  <c r="T234" i="2" l="1"/>
  <c r="U232" i="2"/>
  <c r="P196" i="2"/>
  <c r="P170" i="2"/>
  <c r="M197" i="2"/>
  <c r="M176" i="2"/>
  <c r="M181" i="2" s="1"/>
  <c r="M182" i="2" s="1"/>
  <c r="M184" i="2" s="1"/>
  <c r="R161" i="2"/>
  <c r="R162" i="2"/>
  <c r="R163" i="2" s="1"/>
  <c r="R164" i="2" s="1"/>
  <c r="S175" i="2"/>
  <c r="S199" i="2" s="1"/>
  <c r="S160" i="2"/>
  <c r="N173" i="2"/>
  <c r="N174" i="2"/>
  <c r="N198" i="2" s="1"/>
  <c r="O171" i="2"/>
  <c r="Q167" i="2"/>
  <c r="Q168" i="2"/>
  <c r="Q180" i="2"/>
  <c r="Q194" i="2" s="1"/>
  <c r="S95" i="2"/>
  <c r="T93" i="2"/>
  <c r="F209" i="2"/>
  <c r="G138" i="2"/>
  <c r="G141" i="2" s="1"/>
  <c r="I153" i="2"/>
  <c r="I155" i="2" s="1"/>
  <c r="H156" i="2"/>
  <c r="F185" i="2"/>
  <c r="F186" i="2" s="1"/>
  <c r="F143" i="2"/>
  <c r="F145" i="2" s="1"/>
  <c r="U234" i="2" l="1"/>
  <c r="V232" i="2"/>
  <c r="S161" i="2"/>
  <c r="S162" i="2"/>
  <c r="S163" i="2" s="1"/>
  <c r="S164" i="2" s="1"/>
  <c r="R167" i="2"/>
  <c r="R168" i="2"/>
  <c r="R180" i="2"/>
  <c r="R194" i="2" s="1"/>
  <c r="P171" i="2"/>
  <c r="T175" i="2"/>
  <c r="T199" i="2" s="1"/>
  <c r="T160" i="2"/>
  <c r="O173" i="2"/>
  <c r="O174" i="2"/>
  <c r="O198" i="2" s="1"/>
  <c r="Q170" i="2"/>
  <c r="Q196" i="2"/>
  <c r="N197" i="2"/>
  <c r="N176" i="2"/>
  <c r="N181" i="2" s="1"/>
  <c r="N182" i="2" s="1"/>
  <c r="N184" i="2" s="1"/>
  <c r="T95" i="2"/>
  <c r="U93" i="2"/>
  <c r="G144" i="2"/>
  <c r="F187" i="2"/>
  <c r="J153" i="2"/>
  <c r="J155" i="2" s="1"/>
  <c r="I156" i="2"/>
  <c r="F211" i="2"/>
  <c r="F212" i="2"/>
  <c r="V234" i="2" l="1"/>
  <c r="W232" i="2"/>
  <c r="O197" i="2"/>
  <c r="O176" i="2"/>
  <c r="O181" i="2" s="1"/>
  <c r="O182" i="2" s="1"/>
  <c r="O184" i="2" s="1"/>
  <c r="U175" i="2"/>
  <c r="U199" i="2" s="1"/>
  <c r="U160" i="2"/>
  <c r="P174" i="2"/>
  <c r="P198" i="2" s="1"/>
  <c r="P173" i="2"/>
  <c r="R196" i="2"/>
  <c r="R170" i="2"/>
  <c r="T161" i="2"/>
  <c r="T162" i="2"/>
  <c r="T163" i="2" s="1"/>
  <c r="T164" i="2" s="1"/>
  <c r="S167" i="2"/>
  <c r="S168" i="2"/>
  <c r="S180" i="2"/>
  <c r="S194" i="2" s="1"/>
  <c r="Q171" i="2"/>
  <c r="V93" i="2"/>
  <c r="U95" i="2"/>
  <c r="F188" i="2"/>
  <c r="F189" i="2" s="1"/>
  <c r="G185" i="2"/>
  <c r="G186" i="2" s="1"/>
  <c r="G143" i="2"/>
  <c r="G145" i="2" s="1"/>
  <c r="J156" i="2"/>
  <c r="K153" i="2"/>
  <c r="K155" i="2" s="1"/>
  <c r="G209" i="2"/>
  <c r="H138" i="2"/>
  <c r="H141" i="2" s="1"/>
  <c r="X232" i="2" l="1"/>
  <c r="W234" i="2"/>
  <c r="V175" i="2"/>
  <c r="V199" i="2" s="1"/>
  <c r="V160" i="2"/>
  <c r="S196" i="2"/>
  <c r="S170" i="2"/>
  <c r="T167" i="2"/>
  <c r="T168" i="2"/>
  <c r="T180" i="2"/>
  <c r="T194" i="2" s="1"/>
  <c r="P197" i="2"/>
  <c r="P176" i="2"/>
  <c r="P181" i="2" s="1"/>
  <c r="P182" i="2" s="1"/>
  <c r="P184" i="2" s="1"/>
  <c r="Q174" i="2"/>
  <c r="Q198" i="2" s="1"/>
  <c r="Q173" i="2"/>
  <c r="R171" i="2"/>
  <c r="U161" i="2"/>
  <c r="U162" i="2"/>
  <c r="U163" i="2" s="1"/>
  <c r="U164" i="2" s="1"/>
  <c r="W93" i="2"/>
  <c r="V95" i="2"/>
  <c r="G211" i="2"/>
  <c r="G212" i="2"/>
  <c r="K156" i="2"/>
  <c r="L153" i="2"/>
  <c r="L155" i="2" s="1"/>
  <c r="G187" i="2"/>
  <c r="F200" i="2"/>
  <c r="F201" i="2" s="1"/>
  <c r="F203" i="2" s="1"/>
  <c r="F190" i="2"/>
  <c r="H144" i="2"/>
  <c r="Y232" i="2" l="1"/>
  <c r="X234" i="2"/>
  <c r="U167" i="2"/>
  <c r="U168" i="2"/>
  <c r="U180" i="2"/>
  <c r="U194" i="2" s="1"/>
  <c r="Q197" i="2"/>
  <c r="Q176" i="2"/>
  <c r="Q181" i="2" s="1"/>
  <c r="Q182" i="2" s="1"/>
  <c r="Q184" i="2" s="1"/>
  <c r="S171" i="2"/>
  <c r="W175" i="2"/>
  <c r="W160" i="2"/>
  <c r="R174" i="2"/>
  <c r="R198" i="2" s="1"/>
  <c r="R173" i="2"/>
  <c r="V161" i="2"/>
  <c r="V162" i="2"/>
  <c r="V163" i="2" s="1"/>
  <c r="V164" i="2" s="1"/>
  <c r="T196" i="2"/>
  <c r="T170" i="2"/>
  <c r="W199" i="2"/>
  <c r="W95" i="2"/>
  <c r="X93" i="2"/>
  <c r="F217" i="2"/>
  <c r="F205" i="2"/>
  <c r="H185" i="2"/>
  <c r="H186" i="2" s="1"/>
  <c r="H187" i="2" s="1"/>
  <c r="H143" i="2"/>
  <c r="H145" i="2" s="1"/>
  <c r="I138" i="2"/>
  <c r="I141" i="2" s="1"/>
  <c r="H209" i="2"/>
  <c r="L156" i="2"/>
  <c r="M153" i="2"/>
  <c r="M155" i="2" s="1"/>
  <c r="G188" i="2"/>
  <c r="G189" i="2" s="1"/>
  <c r="Y234" i="2" l="1"/>
  <c r="Z232" i="2"/>
  <c r="X175" i="2"/>
  <c r="X199" i="2" s="1"/>
  <c r="X160" i="2"/>
  <c r="T171" i="2"/>
  <c r="R197" i="2"/>
  <c r="R176" i="2"/>
  <c r="R181" i="2" s="1"/>
  <c r="R182" i="2" s="1"/>
  <c r="R184" i="2" s="1"/>
  <c r="S173" i="2"/>
  <c r="S174" i="2"/>
  <c r="S198" i="2" s="1"/>
  <c r="V167" i="2"/>
  <c r="V180" i="2"/>
  <c r="V194" i="2" s="1"/>
  <c r="V168" i="2"/>
  <c r="W161" i="2"/>
  <c r="W162" i="2"/>
  <c r="W163" i="2" s="1"/>
  <c r="W164" i="2" s="1"/>
  <c r="U170" i="2"/>
  <c r="U196" i="2"/>
  <c r="X95" i="2"/>
  <c r="Y93" i="2"/>
  <c r="I144" i="2"/>
  <c r="H188" i="2"/>
  <c r="H189" i="2" s="1"/>
  <c r="H200" i="2" s="1"/>
  <c r="H201" i="2" s="1"/>
  <c r="H203" i="2" s="1"/>
  <c r="H211" i="2"/>
  <c r="H212" i="2"/>
  <c r="G200" i="2"/>
  <c r="G201" i="2" s="1"/>
  <c r="G203" i="2" s="1"/>
  <c r="G190" i="2"/>
  <c r="N153" i="2"/>
  <c r="N155" i="2" s="1"/>
  <c r="M156" i="2"/>
  <c r="Z234" i="2" l="1"/>
  <c r="AA232" i="2"/>
  <c r="V196" i="2"/>
  <c r="V170" i="2"/>
  <c r="Y175" i="2"/>
  <c r="Y160" i="2"/>
  <c r="T174" i="2"/>
  <c r="T198" i="2" s="1"/>
  <c r="T173" i="2"/>
  <c r="U171" i="2"/>
  <c r="S197" i="2"/>
  <c r="S176" i="2"/>
  <c r="S181" i="2" s="1"/>
  <c r="S182" i="2" s="1"/>
  <c r="S184" i="2" s="1"/>
  <c r="W180" i="2"/>
  <c r="W194" i="2" s="1"/>
  <c r="W167" i="2"/>
  <c r="W168" i="2"/>
  <c r="X161" i="2"/>
  <c r="X162" i="2"/>
  <c r="X163" i="2" s="1"/>
  <c r="X164" i="2" s="1"/>
  <c r="Y199" i="2"/>
  <c r="Z93" i="2"/>
  <c r="Y95" i="2"/>
  <c r="H190" i="2"/>
  <c r="N156" i="2"/>
  <c r="O153" i="2"/>
  <c r="O155" i="2" s="1"/>
  <c r="G205" i="2"/>
  <c r="G217" i="2"/>
  <c r="I185" i="2"/>
  <c r="I186" i="2" s="1"/>
  <c r="I143" i="2"/>
  <c r="I145" i="2" s="1"/>
  <c r="H205" i="2"/>
  <c r="H217" i="2"/>
  <c r="I209" i="2"/>
  <c r="J138" i="2"/>
  <c r="J141" i="2" s="1"/>
  <c r="AE170" i="1"/>
  <c r="AF170" i="1"/>
  <c r="T172" i="1"/>
  <c r="U172" i="1"/>
  <c r="V172" i="1"/>
  <c r="W172" i="1"/>
  <c r="X172" i="1"/>
  <c r="Y172" i="1"/>
  <c r="Z172" i="1"/>
  <c r="AA172" i="1"/>
  <c r="AB172" i="1"/>
  <c r="AC172" i="1"/>
  <c r="AD172" i="1"/>
  <c r="AE172" i="1"/>
  <c r="AF172" i="1"/>
  <c r="AB232" i="2" l="1"/>
  <c r="AA234" i="2"/>
  <c r="X180" i="2"/>
  <c r="X194" i="2" s="1"/>
  <c r="X167" i="2"/>
  <c r="X168" i="2"/>
  <c r="W196" i="2"/>
  <c r="W170" i="2"/>
  <c r="U174" i="2"/>
  <c r="U198" i="2" s="1"/>
  <c r="U173" i="2"/>
  <c r="Y161" i="2"/>
  <c r="Y162" i="2"/>
  <c r="Y163" i="2" s="1"/>
  <c r="Y164" i="2" s="1"/>
  <c r="Z175" i="2"/>
  <c r="Z199" i="2" s="1"/>
  <c r="Z160" i="2"/>
  <c r="T197" i="2"/>
  <c r="T176" i="2"/>
  <c r="T181" i="2" s="1"/>
  <c r="T182" i="2" s="1"/>
  <c r="T184" i="2" s="1"/>
  <c r="T186" i="2" s="1"/>
  <c r="V171" i="2"/>
  <c r="AA93" i="2"/>
  <c r="Z95" i="2"/>
  <c r="O156" i="2"/>
  <c r="P153" i="2"/>
  <c r="P155" i="2" s="1"/>
  <c r="J144" i="2"/>
  <c r="I211" i="2"/>
  <c r="I212" i="2"/>
  <c r="I187" i="2"/>
  <c r="C129" i="1"/>
  <c r="D132" i="1"/>
  <c r="E132" i="1"/>
  <c r="AC232" i="2" l="1"/>
  <c r="AB234" i="2"/>
  <c r="Z161" i="2"/>
  <c r="Z162" i="2"/>
  <c r="Z163" i="2" s="1"/>
  <c r="Z164" i="2" s="1"/>
  <c r="Y168" i="2"/>
  <c r="Y180" i="2"/>
  <c r="Y194" i="2" s="1"/>
  <c r="Y167" i="2"/>
  <c r="W171" i="2"/>
  <c r="X170" i="2"/>
  <c r="X196" i="2"/>
  <c r="V173" i="2"/>
  <c r="V174" i="2"/>
  <c r="V198" i="2" s="1"/>
  <c r="U197" i="2"/>
  <c r="U176" i="2"/>
  <c r="U181" i="2" s="1"/>
  <c r="U182" i="2" s="1"/>
  <c r="U184" i="2" s="1"/>
  <c r="U186" i="2" s="1"/>
  <c r="AA175" i="2"/>
  <c r="AA199" i="2" s="1"/>
  <c r="AA160" i="2"/>
  <c r="AA95" i="2"/>
  <c r="AB93" i="2"/>
  <c r="J209" i="2"/>
  <c r="K138" i="2"/>
  <c r="K141" i="2" s="1"/>
  <c r="J143" i="2"/>
  <c r="J145" i="2" s="1"/>
  <c r="J185" i="2"/>
  <c r="J186" i="2" s="1"/>
  <c r="J187" i="2" s="1"/>
  <c r="Q153" i="2"/>
  <c r="Q155" i="2" s="1"/>
  <c r="P156" i="2"/>
  <c r="I188" i="2"/>
  <c r="I189" i="2" s="1"/>
  <c r="C132" i="1"/>
  <c r="C90" i="1"/>
  <c r="C92" i="1"/>
  <c r="E110" i="1" s="1"/>
  <c r="C87" i="1"/>
  <c r="C88" i="1" s="1"/>
  <c r="C5" i="1"/>
  <c r="C78" i="1"/>
  <c r="C77" i="1"/>
  <c r="G70" i="1"/>
  <c r="H70" i="1" s="1"/>
  <c r="I70" i="1" s="1"/>
  <c r="C68" i="1"/>
  <c r="C148" i="1" s="1"/>
  <c r="D148" i="1" s="1"/>
  <c r="C34" i="1"/>
  <c r="C16" i="1"/>
  <c r="C21" i="1"/>
  <c r="E148" i="1" l="1"/>
  <c r="F148" i="1" s="1"/>
  <c r="G148" i="1" s="1"/>
  <c r="H148" i="1" s="1"/>
  <c r="I148" i="1" s="1"/>
  <c r="J148" i="1" s="1"/>
  <c r="K148" i="1" s="1"/>
  <c r="L148" i="1" s="1"/>
  <c r="M148" i="1" s="1"/>
  <c r="N148" i="1" s="1"/>
  <c r="O148" i="1" s="1"/>
  <c r="P148" i="1" s="1"/>
  <c r="Q148" i="1" s="1"/>
  <c r="R148" i="1" s="1"/>
  <c r="S148" i="1" s="1"/>
  <c r="T148" i="1" s="1"/>
  <c r="U148" i="1" s="1"/>
  <c r="V148" i="1" s="1"/>
  <c r="W148" i="1" s="1"/>
  <c r="X148" i="1" s="1"/>
  <c r="Y148" i="1" s="1"/>
  <c r="Z148" i="1" s="1"/>
  <c r="AA148" i="1" s="1"/>
  <c r="AB148" i="1" s="1"/>
  <c r="AC148" i="1" s="1"/>
  <c r="AD148" i="1" s="1"/>
  <c r="AE148" i="1" s="1"/>
  <c r="AF148" i="1" s="1"/>
  <c r="AC234" i="2"/>
  <c r="AD232" i="2"/>
  <c r="AB175" i="2"/>
  <c r="AB199" i="2" s="1"/>
  <c r="AB160" i="2"/>
  <c r="Z167" i="2"/>
  <c r="Z168" i="2"/>
  <c r="Z180" i="2"/>
  <c r="Z194" i="2" s="1"/>
  <c r="AA161" i="2"/>
  <c r="AA162" i="2"/>
  <c r="AA163" i="2" s="1"/>
  <c r="AA164" i="2" s="1"/>
  <c r="W173" i="2"/>
  <c r="W174" i="2"/>
  <c r="W198" i="2" s="1"/>
  <c r="V197" i="2"/>
  <c r="V176" i="2"/>
  <c r="V181" i="2" s="1"/>
  <c r="V182" i="2" s="1"/>
  <c r="V184" i="2" s="1"/>
  <c r="V186" i="2" s="1"/>
  <c r="X171" i="2"/>
  <c r="Y196" i="2"/>
  <c r="Y170" i="2"/>
  <c r="AB95" i="2"/>
  <c r="AC93" i="2"/>
  <c r="R153" i="2"/>
  <c r="R155" i="2" s="1"/>
  <c r="Q156" i="2"/>
  <c r="J188" i="2"/>
  <c r="J189" i="2" s="1"/>
  <c r="J200" i="2" s="1"/>
  <c r="J201" i="2" s="1"/>
  <c r="J203" i="2" s="1"/>
  <c r="I200" i="2"/>
  <c r="I201" i="2" s="1"/>
  <c r="I203" i="2" s="1"/>
  <c r="I190" i="2"/>
  <c r="K144" i="2"/>
  <c r="J211" i="2"/>
  <c r="J212" i="2"/>
  <c r="H162" i="1"/>
  <c r="H186" i="1" s="1"/>
  <c r="L162" i="1"/>
  <c r="L186" i="1" s="1"/>
  <c r="P162" i="1"/>
  <c r="P186" i="1" s="1"/>
  <c r="T162" i="1"/>
  <c r="T186" i="1" s="1"/>
  <c r="X162" i="1"/>
  <c r="X186" i="1" s="1"/>
  <c r="AB162" i="1"/>
  <c r="AB186" i="1" s="1"/>
  <c r="AF162" i="1"/>
  <c r="AF186" i="1" s="1"/>
  <c r="I162" i="1"/>
  <c r="I186" i="1" s="1"/>
  <c r="M162" i="1"/>
  <c r="M186" i="1" s="1"/>
  <c r="Q162" i="1"/>
  <c r="Q186" i="1" s="1"/>
  <c r="U162" i="1"/>
  <c r="U186" i="1" s="1"/>
  <c r="Y162" i="1"/>
  <c r="Y186" i="1" s="1"/>
  <c r="AC162" i="1"/>
  <c r="AC186" i="1" s="1"/>
  <c r="F162" i="1"/>
  <c r="F186" i="1" s="1"/>
  <c r="N162" i="1"/>
  <c r="N186" i="1" s="1"/>
  <c r="V162" i="1"/>
  <c r="V186" i="1" s="1"/>
  <c r="AD162" i="1"/>
  <c r="AD186" i="1" s="1"/>
  <c r="R162" i="1"/>
  <c r="R186" i="1" s="1"/>
  <c r="K162" i="1"/>
  <c r="K186" i="1" s="1"/>
  <c r="AA162" i="1"/>
  <c r="AA186" i="1" s="1"/>
  <c r="G162" i="1"/>
  <c r="G186" i="1" s="1"/>
  <c r="O162" i="1"/>
  <c r="O186" i="1" s="1"/>
  <c r="W162" i="1"/>
  <c r="W186" i="1" s="1"/>
  <c r="AE162" i="1"/>
  <c r="AE186" i="1" s="1"/>
  <c r="J162" i="1"/>
  <c r="J186" i="1" s="1"/>
  <c r="Z162" i="1"/>
  <c r="Z186" i="1" s="1"/>
  <c r="S162" i="1"/>
  <c r="S186" i="1" s="1"/>
  <c r="C110" i="1"/>
  <c r="G147" i="1"/>
  <c r="K147" i="1"/>
  <c r="O147" i="1"/>
  <c r="S147" i="1"/>
  <c r="W147" i="1"/>
  <c r="AA147" i="1"/>
  <c r="AE147" i="1"/>
  <c r="C147" i="1"/>
  <c r="C149" i="1" s="1"/>
  <c r="C150" i="1" s="1"/>
  <c r="H147" i="1"/>
  <c r="L147" i="1"/>
  <c r="P147" i="1"/>
  <c r="X147" i="1"/>
  <c r="AB147" i="1"/>
  <c r="AF147" i="1"/>
  <c r="M147" i="1"/>
  <c r="Y147" i="1"/>
  <c r="AC147" i="1"/>
  <c r="F147" i="1"/>
  <c r="R147" i="1"/>
  <c r="Z147" i="1"/>
  <c r="D147" i="1"/>
  <c r="D149" i="1" s="1"/>
  <c r="D150" i="1" s="1"/>
  <c r="T147" i="1"/>
  <c r="E147" i="1"/>
  <c r="U147" i="1"/>
  <c r="J147" i="1"/>
  <c r="V147" i="1"/>
  <c r="I147" i="1"/>
  <c r="Q147" i="1"/>
  <c r="N147" i="1"/>
  <c r="AD147" i="1"/>
  <c r="D110" i="1"/>
  <c r="C91" i="1"/>
  <c r="C109" i="1" s="1"/>
  <c r="C89" i="1"/>
  <c r="D109" i="1" l="1"/>
  <c r="F149" i="1"/>
  <c r="F150" i="1" s="1"/>
  <c r="F151" i="1" s="1"/>
  <c r="F155" i="1" s="1"/>
  <c r="E149" i="1"/>
  <c r="E150" i="1" s="1"/>
  <c r="AE232" i="2"/>
  <c r="AD234" i="2"/>
  <c r="AA167" i="2"/>
  <c r="AA180" i="2"/>
  <c r="AA194" i="2" s="1"/>
  <c r="AA168" i="2"/>
  <c r="AC175" i="2"/>
  <c r="AC199" i="2" s="1"/>
  <c r="AC160" i="2"/>
  <c r="Y171" i="2"/>
  <c r="Z170" i="2"/>
  <c r="Z196" i="2"/>
  <c r="AB161" i="2"/>
  <c r="AB162" i="2"/>
  <c r="AB163" i="2" s="1"/>
  <c r="AB164" i="2" s="1"/>
  <c r="X173" i="2"/>
  <c r="X174" i="2"/>
  <c r="X198" i="2" s="1"/>
  <c r="W197" i="2"/>
  <c r="W176" i="2"/>
  <c r="W181" i="2" s="1"/>
  <c r="W182" i="2" s="1"/>
  <c r="W184" i="2" s="1"/>
  <c r="W186" i="2" s="1"/>
  <c r="AD93" i="2"/>
  <c r="AC95" i="2"/>
  <c r="K209" i="2"/>
  <c r="L138" i="2"/>
  <c r="L141" i="2" s="1"/>
  <c r="J217" i="2"/>
  <c r="J205" i="2"/>
  <c r="I205" i="2"/>
  <c r="I217" i="2"/>
  <c r="K185" i="2"/>
  <c r="K186" i="2" s="1"/>
  <c r="K143" i="2"/>
  <c r="K145" i="2" s="1"/>
  <c r="J190" i="2"/>
  <c r="S153" i="2"/>
  <c r="S155" i="2" s="1"/>
  <c r="R156" i="2"/>
  <c r="E109" i="1"/>
  <c r="F140" i="1" s="1"/>
  <c r="G149" i="1"/>
  <c r="G150" i="1" s="1"/>
  <c r="G151" i="1" s="1"/>
  <c r="C108" i="1"/>
  <c r="C93" i="1"/>
  <c r="D108" i="1"/>
  <c r="E108" i="1"/>
  <c r="F167" i="1" l="1"/>
  <c r="H140" i="1"/>
  <c r="F154" i="1"/>
  <c r="F183" i="1" s="1"/>
  <c r="AF232" i="2"/>
  <c r="AF234" i="2" s="1"/>
  <c r="AE234" i="2"/>
  <c r="Y173" i="2"/>
  <c r="Y174" i="2"/>
  <c r="Y198" i="2" s="1"/>
  <c r="AD175" i="2"/>
  <c r="AD199" i="2" s="1"/>
  <c r="AD160" i="2"/>
  <c r="AC161" i="2"/>
  <c r="AC162" i="2"/>
  <c r="AC163" i="2" s="1"/>
  <c r="AC164" i="2" s="1"/>
  <c r="AB167" i="2"/>
  <c r="AB180" i="2"/>
  <c r="AB194" i="2" s="1"/>
  <c r="AB168" i="2"/>
  <c r="X197" i="2"/>
  <c r="X176" i="2"/>
  <c r="X181" i="2" s="1"/>
  <c r="X182" i="2" s="1"/>
  <c r="X184" i="2" s="1"/>
  <c r="X186" i="2" s="1"/>
  <c r="Z171" i="2"/>
  <c r="AA196" i="2"/>
  <c r="AA170" i="2"/>
  <c r="AE93" i="2"/>
  <c r="AD95" i="2"/>
  <c r="I140" i="1"/>
  <c r="G140" i="1"/>
  <c r="J140" i="1"/>
  <c r="K187" i="2"/>
  <c r="S156" i="2"/>
  <c r="T153" i="2"/>
  <c r="T155" i="2" s="1"/>
  <c r="L144" i="2"/>
  <c r="K211" i="2"/>
  <c r="K212" i="2"/>
  <c r="F181" i="1"/>
  <c r="G167" i="1"/>
  <c r="G155" i="1"/>
  <c r="G154" i="1"/>
  <c r="H149" i="1"/>
  <c r="H150" i="1" s="1"/>
  <c r="H151" i="1" s="1"/>
  <c r="C99" i="1"/>
  <c r="C96" i="1"/>
  <c r="C101" i="1"/>
  <c r="C97" i="1"/>
  <c r="C102" i="1"/>
  <c r="C98" i="1"/>
  <c r="C100" i="1"/>
  <c r="H139" i="1"/>
  <c r="L139" i="1"/>
  <c r="P139" i="1"/>
  <c r="T139" i="1"/>
  <c r="X139" i="1"/>
  <c r="AB139" i="1"/>
  <c r="J139" i="1"/>
  <c r="R139" i="1"/>
  <c r="Z139" i="1"/>
  <c r="O139" i="1"/>
  <c r="AA139" i="1"/>
  <c r="I139" i="1"/>
  <c r="M139" i="1"/>
  <c r="Q139" i="1"/>
  <c r="U139" i="1"/>
  <c r="Y139" i="1"/>
  <c r="AC139" i="1"/>
  <c r="N139" i="1"/>
  <c r="V139" i="1"/>
  <c r="AD139" i="1"/>
  <c r="K139" i="1"/>
  <c r="W139" i="1"/>
  <c r="S139" i="1"/>
  <c r="G139" i="1"/>
  <c r="F139" i="1"/>
  <c r="Z173" i="2" l="1"/>
  <c r="Z174" i="2"/>
  <c r="Z198" i="2" s="1"/>
  <c r="AC180" i="2"/>
  <c r="AC194" i="2" s="1"/>
  <c r="AC168" i="2"/>
  <c r="AC167" i="2"/>
  <c r="AA171" i="2"/>
  <c r="AD161" i="2"/>
  <c r="AD162" i="2"/>
  <c r="AD163" i="2" s="1"/>
  <c r="AD164" i="2" s="1"/>
  <c r="AE175" i="2"/>
  <c r="AE199" i="2" s="1"/>
  <c r="AE160" i="2"/>
  <c r="AB196" i="2"/>
  <c r="AB170" i="2"/>
  <c r="Y197" i="2"/>
  <c r="Y176" i="2"/>
  <c r="Y181" i="2" s="1"/>
  <c r="Y182" i="2" s="1"/>
  <c r="Y184" i="2" s="1"/>
  <c r="Y186" i="2" s="1"/>
  <c r="AE95" i="2"/>
  <c r="AF93" i="2"/>
  <c r="AF160" i="2" s="1"/>
  <c r="U153" i="2"/>
  <c r="U155" i="2" s="1"/>
  <c r="T156" i="2"/>
  <c r="L185" i="2"/>
  <c r="L186" i="2" s="1"/>
  <c r="L143" i="2"/>
  <c r="L145" i="2" s="1"/>
  <c r="K188" i="2"/>
  <c r="K189" i="2" s="1"/>
  <c r="L209" i="2"/>
  <c r="M138" i="2"/>
  <c r="M141" i="2" s="1"/>
  <c r="H167" i="1"/>
  <c r="H181" i="1" s="1"/>
  <c r="G183" i="1"/>
  <c r="G181" i="1"/>
  <c r="H154" i="1"/>
  <c r="H155" i="1"/>
  <c r="C103" i="1"/>
  <c r="C104" i="1" s="1"/>
  <c r="C105" i="1" s="1"/>
  <c r="I149" i="1"/>
  <c r="I150" i="1" s="1"/>
  <c r="I151" i="1" s="1"/>
  <c r="E114" i="1"/>
  <c r="D114" i="1"/>
  <c r="C114" i="1"/>
  <c r="D113" i="1"/>
  <c r="E113" i="1"/>
  <c r="C113" i="1"/>
  <c r="D117" i="1"/>
  <c r="E117" i="1"/>
  <c r="C117" i="1"/>
  <c r="C116" i="1"/>
  <c r="E116" i="1"/>
  <c r="D116" i="1"/>
  <c r="D112" i="1"/>
  <c r="C112" i="1"/>
  <c r="E112" i="1"/>
  <c r="E118" i="1"/>
  <c r="D118" i="1"/>
  <c r="C118" i="1"/>
  <c r="C115" i="1"/>
  <c r="D115" i="1"/>
  <c r="E115" i="1"/>
  <c r="AF162" i="2" l="1"/>
  <c r="AF163" i="2" s="1"/>
  <c r="AF164" i="2" s="1"/>
  <c r="AE161" i="2"/>
  <c r="AE162" i="2"/>
  <c r="AE163" i="2" s="1"/>
  <c r="AE164" i="2" s="1"/>
  <c r="AA174" i="2"/>
  <c r="AA198" i="2" s="1"/>
  <c r="AA173" i="2"/>
  <c r="AB171" i="2"/>
  <c r="AD180" i="2"/>
  <c r="AD194" i="2" s="1"/>
  <c r="AD168" i="2"/>
  <c r="AD167" i="2"/>
  <c r="AC170" i="2"/>
  <c r="AC196" i="2"/>
  <c r="Z197" i="2"/>
  <c r="Z176" i="2"/>
  <c r="Z181" i="2" s="1"/>
  <c r="Z182" i="2" s="1"/>
  <c r="Z184" i="2" s="1"/>
  <c r="Z186" i="2" s="1"/>
  <c r="AF95" i="2"/>
  <c r="AF161" i="2" s="1"/>
  <c r="AF175" i="2"/>
  <c r="L187" i="2"/>
  <c r="L211" i="2"/>
  <c r="L212" i="2"/>
  <c r="M144" i="2"/>
  <c r="K200" i="2"/>
  <c r="K201" i="2" s="1"/>
  <c r="K203" i="2" s="1"/>
  <c r="K190" i="2"/>
  <c r="V153" i="2"/>
  <c r="V155" i="2" s="1"/>
  <c r="U156" i="2"/>
  <c r="I167" i="1"/>
  <c r="H183" i="1"/>
  <c r="I155" i="1"/>
  <c r="I154" i="1"/>
  <c r="F156" i="1"/>
  <c r="F157" i="1" s="1"/>
  <c r="H156" i="1"/>
  <c r="H157" i="1" s="1"/>
  <c r="G156" i="1"/>
  <c r="G157" i="1" s="1"/>
  <c r="C119" i="1"/>
  <c r="C123" i="1" s="1"/>
  <c r="J149" i="1"/>
  <c r="J150" i="1" s="1"/>
  <c r="J151" i="1" s="1"/>
  <c r="E119" i="1"/>
  <c r="E189" i="1" s="1"/>
  <c r="E190" i="1" s="1"/>
  <c r="D119" i="1"/>
  <c r="D189" i="1" s="1"/>
  <c r="D190" i="1" s="1"/>
  <c r="AB174" i="2" l="1"/>
  <c r="AB198" i="2" s="1"/>
  <c r="AB173" i="2"/>
  <c r="AE180" i="2"/>
  <c r="AE194" i="2" s="1"/>
  <c r="AE168" i="2"/>
  <c r="AE167" i="2"/>
  <c r="AD196" i="2"/>
  <c r="AD170" i="2"/>
  <c r="AA197" i="2"/>
  <c r="AA176" i="2"/>
  <c r="AA181" i="2" s="1"/>
  <c r="AA182" i="2" s="1"/>
  <c r="AA184" i="2" s="1"/>
  <c r="AA186" i="2" s="1"/>
  <c r="AF167" i="2"/>
  <c r="AF168" i="2"/>
  <c r="AF180" i="2"/>
  <c r="AF194" i="2" s="1"/>
  <c r="AC171" i="2"/>
  <c r="AF199" i="2"/>
  <c r="M143" i="2"/>
  <c r="M145" i="2" s="1"/>
  <c r="M185" i="2"/>
  <c r="M186" i="2" s="1"/>
  <c r="M187" i="2" s="1"/>
  <c r="L188" i="2"/>
  <c r="L189" i="2" s="1"/>
  <c r="K205" i="2"/>
  <c r="K217" i="2"/>
  <c r="V156" i="2"/>
  <c r="W153" i="2"/>
  <c r="W155" i="2" s="1"/>
  <c r="M209" i="2"/>
  <c r="N138" i="2"/>
  <c r="N141" i="2" s="1"/>
  <c r="H158" i="1"/>
  <c r="J167" i="1"/>
  <c r="I183" i="1"/>
  <c r="I157" i="1"/>
  <c r="F158" i="1"/>
  <c r="C124" i="1"/>
  <c r="C128" i="1" s="1"/>
  <c r="C133" i="1" s="1"/>
  <c r="C189" i="1"/>
  <c r="C190" i="1" s="1"/>
  <c r="G158" i="1"/>
  <c r="I181" i="1"/>
  <c r="J154" i="1"/>
  <c r="J155" i="1"/>
  <c r="K149" i="1"/>
  <c r="K150" i="1" s="1"/>
  <c r="K151" i="1" s="1"/>
  <c r="D124" i="1"/>
  <c r="D128" i="1" s="1"/>
  <c r="D134" i="1" s="1"/>
  <c r="D192" i="1" s="1"/>
  <c r="D123" i="1"/>
  <c r="E124" i="1"/>
  <c r="E128" i="1" s="1"/>
  <c r="E134" i="1" s="1"/>
  <c r="E192" i="1" s="1"/>
  <c r="E123" i="1"/>
  <c r="C120" i="1"/>
  <c r="C134" i="1" l="1"/>
  <c r="C204" i="1" s="1"/>
  <c r="AC174" i="2"/>
  <c r="AC198" i="2" s="1"/>
  <c r="AC173" i="2"/>
  <c r="AD171" i="2"/>
  <c r="AB197" i="2"/>
  <c r="AB176" i="2"/>
  <c r="AB181" i="2" s="1"/>
  <c r="AB182" i="2" s="1"/>
  <c r="AB184" i="2" s="1"/>
  <c r="AB186" i="2" s="1"/>
  <c r="AF196" i="2"/>
  <c r="AF170" i="2"/>
  <c r="AE170" i="2"/>
  <c r="AE196" i="2"/>
  <c r="E204" i="1"/>
  <c r="D204" i="1"/>
  <c r="W156" i="2"/>
  <c r="X153" i="2"/>
  <c r="X155" i="2" s="1"/>
  <c r="N144" i="2"/>
  <c r="M188" i="2"/>
  <c r="M189" i="2" s="1"/>
  <c r="M200" i="2" s="1"/>
  <c r="M201" i="2" s="1"/>
  <c r="M203" i="2" s="1"/>
  <c r="M211" i="2"/>
  <c r="M212" i="2"/>
  <c r="L200" i="2"/>
  <c r="L201" i="2" s="1"/>
  <c r="L203" i="2" s="1"/>
  <c r="L190" i="2"/>
  <c r="D127" i="1"/>
  <c r="D129" i="1" s="1"/>
  <c r="C196" i="1"/>
  <c r="I158" i="1"/>
  <c r="K167" i="1"/>
  <c r="K181" i="1" s="1"/>
  <c r="J183" i="1"/>
  <c r="J157" i="1"/>
  <c r="J181" i="1"/>
  <c r="G161" i="1"/>
  <c r="G185" i="1" s="1"/>
  <c r="G160" i="1"/>
  <c r="F161" i="1"/>
  <c r="F185" i="1" s="1"/>
  <c r="F160" i="1"/>
  <c r="H160" i="1"/>
  <c r="H161" i="1"/>
  <c r="H185" i="1" s="1"/>
  <c r="K154" i="1"/>
  <c r="K155" i="1"/>
  <c r="L149" i="1"/>
  <c r="L150" i="1" s="1"/>
  <c r="L151" i="1" s="1"/>
  <c r="C192" i="1" l="1"/>
  <c r="D133" i="1"/>
  <c r="E127" i="1" s="1"/>
  <c r="E129" i="1" s="1"/>
  <c r="C135" i="1" s="1"/>
  <c r="AF171" i="2"/>
  <c r="AD174" i="2"/>
  <c r="AD198" i="2" s="1"/>
  <c r="AD173" i="2"/>
  <c r="AC197" i="2"/>
  <c r="AC176" i="2"/>
  <c r="AC181" i="2" s="1"/>
  <c r="AC182" i="2" s="1"/>
  <c r="AC184" i="2" s="1"/>
  <c r="AC186" i="2" s="1"/>
  <c r="AE171" i="2"/>
  <c r="L205" i="2"/>
  <c r="L217" i="2"/>
  <c r="N143" i="2"/>
  <c r="N145" i="2" s="1"/>
  <c r="N185" i="2"/>
  <c r="N186" i="2" s="1"/>
  <c r="N209" i="2"/>
  <c r="O138" i="2"/>
  <c r="O141" i="2" s="1"/>
  <c r="Y153" i="2"/>
  <c r="Y155" i="2" s="1"/>
  <c r="X156" i="2"/>
  <c r="M205" i="2"/>
  <c r="M217" i="2"/>
  <c r="M190" i="2"/>
  <c r="L167" i="1"/>
  <c r="L181" i="1" s="1"/>
  <c r="G184" i="1"/>
  <c r="G163" i="1"/>
  <c r="G168" i="1" s="1"/>
  <c r="G169" i="1" s="1"/>
  <c r="J158" i="1"/>
  <c r="I160" i="1"/>
  <c r="I161" i="1"/>
  <c r="I185" i="1" s="1"/>
  <c r="G197" i="1"/>
  <c r="K197" i="1"/>
  <c r="O197" i="1"/>
  <c r="S197" i="1"/>
  <c r="W197" i="1"/>
  <c r="AA197" i="1"/>
  <c r="AE197" i="1"/>
  <c r="D197" i="1"/>
  <c r="H197" i="1"/>
  <c r="L197" i="1"/>
  <c r="P197" i="1"/>
  <c r="T197" i="1"/>
  <c r="X197" i="1"/>
  <c r="AF197" i="1"/>
  <c r="E197" i="1"/>
  <c r="I197" i="1"/>
  <c r="M197" i="1"/>
  <c r="Q197" i="1"/>
  <c r="U197" i="1"/>
  <c r="J197" i="1"/>
  <c r="R197" i="1"/>
  <c r="Z197" i="1"/>
  <c r="C197" i="1"/>
  <c r="C199" i="1" s="1"/>
  <c r="AB197" i="1"/>
  <c r="Y197" i="1"/>
  <c r="F197" i="1"/>
  <c r="N197" i="1"/>
  <c r="V197" i="1"/>
  <c r="AD197" i="1"/>
  <c r="AC197" i="1"/>
  <c r="H184" i="1"/>
  <c r="H163" i="1"/>
  <c r="H168" i="1" s="1"/>
  <c r="H169" i="1" s="1"/>
  <c r="K183" i="1"/>
  <c r="K157" i="1"/>
  <c r="F184" i="1"/>
  <c r="F163" i="1"/>
  <c r="F168" i="1" s="1"/>
  <c r="F169" i="1" s="1"/>
  <c r="L154" i="1"/>
  <c r="L155" i="1"/>
  <c r="M149" i="1"/>
  <c r="M150" i="1" s="1"/>
  <c r="M151" i="1" s="1"/>
  <c r="D196" i="1" l="1"/>
  <c r="AD197" i="2"/>
  <c r="AD176" i="2"/>
  <c r="AD181" i="2" s="1"/>
  <c r="AD182" i="2" s="1"/>
  <c r="AD184" i="2" s="1"/>
  <c r="AD186" i="2" s="1"/>
  <c r="AE173" i="2"/>
  <c r="AE174" i="2"/>
  <c r="AE198" i="2" s="1"/>
  <c r="AF174" i="2"/>
  <c r="AF198" i="2" s="1"/>
  <c r="AF173" i="2"/>
  <c r="E133" i="1"/>
  <c r="E196" i="1" s="1"/>
  <c r="E198" i="1" s="1"/>
  <c r="M141" i="1"/>
  <c r="M143" i="1" s="1"/>
  <c r="M170" i="1" s="1"/>
  <c r="T141" i="1"/>
  <c r="T143" i="1" s="1"/>
  <c r="T170" i="1" s="1"/>
  <c r="U141" i="1"/>
  <c r="U143" i="1" s="1"/>
  <c r="U170" i="1" s="1"/>
  <c r="S141" i="1"/>
  <c r="S143" i="1" s="1"/>
  <c r="S170" i="1" s="1"/>
  <c r="AC141" i="1"/>
  <c r="AC143" i="1" s="1"/>
  <c r="AC170" i="1" s="1"/>
  <c r="J141" i="1"/>
  <c r="J143" i="1" s="1"/>
  <c r="J170" i="1" s="1"/>
  <c r="K141" i="1"/>
  <c r="K143" i="1" s="1"/>
  <c r="K170" i="1" s="1"/>
  <c r="Q141" i="1"/>
  <c r="Q143" i="1" s="1"/>
  <c r="Q170" i="1" s="1"/>
  <c r="N211" i="2"/>
  <c r="N212" i="2"/>
  <c r="Z153" i="2"/>
  <c r="Z155" i="2" s="1"/>
  <c r="Y156" i="2"/>
  <c r="N187" i="2"/>
  <c r="O144" i="2"/>
  <c r="V199" i="1"/>
  <c r="V198" i="1"/>
  <c r="AB198" i="1"/>
  <c r="AB199" i="1"/>
  <c r="T199" i="1"/>
  <c r="T198" i="1"/>
  <c r="D199" i="1"/>
  <c r="D198" i="1"/>
  <c r="U199" i="1"/>
  <c r="U198" i="1"/>
  <c r="AE199" i="1"/>
  <c r="AE198" i="1"/>
  <c r="I184" i="1"/>
  <c r="I163" i="1"/>
  <c r="I168" i="1" s="1"/>
  <c r="I169" i="1" s="1"/>
  <c r="L183" i="1"/>
  <c r="L157" i="1"/>
  <c r="AD141" i="1"/>
  <c r="AD143" i="1" s="1"/>
  <c r="AD170" i="1" s="1"/>
  <c r="AB141" i="1"/>
  <c r="AB143" i="1" s="1"/>
  <c r="AB170" i="1" s="1"/>
  <c r="AF199" i="1"/>
  <c r="AF198" i="1"/>
  <c r="AA199" i="1"/>
  <c r="AA198" i="1"/>
  <c r="J161" i="1"/>
  <c r="J185" i="1" s="1"/>
  <c r="J160" i="1"/>
  <c r="M167" i="1"/>
  <c r="AC199" i="1"/>
  <c r="AC198" i="1"/>
  <c r="Z199" i="1"/>
  <c r="Z198" i="1"/>
  <c r="V141" i="1"/>
  <c r="V143" i="1" s="1"/>
  <c r="V170" i="1" s="1"/>
  <c r="G141" i="1"/>
  <c r="G143" i="1" s="1"/>
  <c r="G170" i="1" s="1"/>
  <c r="G171" i="1" s="1"/>
  <c r="N141" i="1"/>
  <c r="N143" i="1" s="1"/>
  <c r="N170" i="1" s="1"/>
  <c r="X141" i="1"/>
  <c r="X143" i="1" s="1"/>
  <c r="X170" i="1" s="1"/>
  <c r="C198" i="1"/>
  <c r="C200" i="1" s="1"/>
  <c r="K158" i="1"/>
  <c r="AD199" i="1"/>
  <c r="AD198" i="1"/>
  <c r="Y199" i="1"/>
  <c r="Y198" i="1"/>
  <c r="X199" i="1"/>
  <c r="X198" i="1"/>
  <c r="W199" i="1"/>
  <c r="W198" i="1"/>
  <c r="O141" i="1"/>
  <c r="O143" i="1" s="1"/>
  <c r="O170" i="1" s="1"/>
  <c r="F142" i="1"/>
  <c r="F144" i="1" s="1"/>
  <c r="L141" i="1"/>
  <c r="L143" i="1" s="1"/>
  <c r="L170" i="1" s="1"/>
  <c r="F141" i="1"/>
  <c r="F143" i="1" s="1"/>
  <c r="F170" i="1" s="1"/>
  <c r="F171" i="1" s="1"/>
  <c r="P141" i="1"/>
  <c r="P143" i="1" s="1"/>
  <c r="P170" i="1" s="1"/>
  <c r="Y141" i="1"/>
  <c r="Y143" i="1" s="1"/>
  <c r="Y170" i="1" s="1"/>
  <c r="M155" i="1"/>
  <c r="M154" i="1"/>
  <c r="H141" i="1"/>
  <c r="H143" i="1" s="1"/>
  <c r="H170" i="1" s="1"/>
  <c r="H171" i="1" s="1"/>
  <c r="W141" i="1"/>
  <c r="W143" i="1" s="1"/>
  <c r="W170" i="1" s="1"/>
  <c r="I141" i="1"/>
  <c r="I143" i="1" s="1"/>
  <c r="I170" i="1" s="1"/>
  <c r="R141" i="1"/>
  <c r="R143" i="1" s="1"/>
  <c r="R170" i="1" s="1"/>
  <c r="Z141" i="1"/>
  <c r="Z143" i="1" s="1"/>
  <c r="Z170" i="1" s="1"/>
  <c r="N149" i="1"/>
  <c r="N150" i="1" s="1"/>
  <c r="N151" i="1" s="1"/>
  <c r="AA141" i="1"/>
  <c r="AA143" i="1" s="1"/>
  <c r="AA170" i="1" s="1"/>
  <c r="AE200" i="1" l="1"/>
  <c r="F127" i="1"/>
  <c r="S131" i="1" s="1"/>
  <c r="X200" i="1"/>
  <c r="U200" i="1"/>
  <c r="AE197" i="2"/>
  <c r="AE176" i="2"/>
  <c r="AE181" i="2" s="1"/>
  <c r="AE182" i="2" s="1"/>
  <c r="AE184" i="2" s="1"/>
  <c r="AE186" i="2" s="1"/>
  <c r="AF197" i="2"/>
  <c r="AF176" i="2"/>
  <c r="AF181" i="2" s="1"/>
  <c r="AF182" i="2" s="1"/>
  <c r="AF184" i="2" s="1"/>
  <c r="AF186" i="2" s="1"/>
  <c r="AB200" i="1"/>
  <c r="AF200" i="1"/>
  <c r="D200" i="1"/>
  <c r="Z200" i="1"/>
  <c r="AA200" i="1"/>
  <c r="E199" i="1"/>
  <c r="O209" i="2"/>
  <c r="P138" i="2"/>
  <c r="P141" i="2" s="1"/>
  <c r="Z156" i="2"/>
  <c r="AA153" i="2"/>
  <c r="AA155" i="2" s="1"/>
  <c r="N188" i="2"/>
  <c r="N189" i="2" s="1"/>
  <c r="O185" i="2"/>
  <c r="O186" i="2" s="1"/>
  <c r="O143" i="2"/>
  <c r="O145" i="2" s="1"/>
  <c r="K131" i="1"/>
  <c r="F133" i="1"/>
  <c r="Y200" i="1"/>
  <c r="K161" i="1"/>
  <c r="K185" i="1" s="1"/>
  <c r="K160" i="1"/>
  <c r="M181" i="1"/>
  <c r="J184" i="1"/>
  <c r="J163" i="1"/>
  <c r="J168" i="1" s="1"/>
  <c r="J169" i="1" s="1"/>
  <c r="J171" i="1" s="1"/>
  <c r="I171" i="1"/>
  <c r="T200" i="1"/>
  <c r="V200" i="1"/>
  <c r="P131" i="1"/>
  <c r="M183" i="1"/>
  <c r="M157" i="1"/>
  <c r="W200" i="1"/>
  <c r="AC200" i="1"/>
  <c r="N131" i="1"/>
  <c r="R131" i="1"/>
  <c r="N167" i="1"/>
  <c r="AD200" i="1"/>
  <c r="L158" i="1"/>
  <c r="E200" i="1"/>
  <c r="N155" i="1"/>
  <c r="N154" i="1"/>
  <c r="O149" i="1"/>
  <c r="O150" i="1" s="1"/>
  <c r="O151" i="1" s="1"/>
  <c r="G142" i="1"/>
  <c r="G144" i="1" s="1"/>
  <c r="M131" i="1" l="1"/>
  <c r="Q131" i="1"/>
  <c r="L131" i="1"/>
  <c r="F130" i="1"/>
  <c r="F132" i="1" s="1"/>
  <c r="F134" i="1" s="1"/>
  <c r="O131" i="1"/>
  <c r="J131" i="1"/>
  <c r="P144" i="2"/>
  <c r="AA156" i="2"/>
  <c r="AB153" i="2"/>
  <c r="AB155" i="2" s="1"/>
  <c r="O187" i="2"/>
  <c r="N200" i="2"/>
  <c r="N201" i="2" s="1"/>
  <c r="N203" i="2" s="1"/>
  <c r="N190" i="2"/>
  <c r="O211" i="2"/>
  <c r="O212" i="2"/>
  <c r="N183" i="1"/>
  <c r="N157" i="1"/>
  <c r="L160" i="1"/>
  <c r="L161" i="1"/>
  <c r="L185" i="1" s="1"/>
  <c r="M158" i="1"/>
  <c r="K184" i="1"/>
  <c r="K163" i="1"/>
  <c r="K168" i="1" s="1"/>
  <c r="K169" i="1" s="1"/>
  <c r="K171" i="1" s="1"/>
  <c r="G127" i="1"/>
  <c r="F196" i="1"/>
  <c r="N181" i="1"/>
  <c r="O167" i="1"/>
  <c r="O181" i="1" s="1"/>
  <c r="O154" i="1"/>
  <c r="O155" i="1"/>
  <c r="P149" i="1"/>
  <c r="P150" i="1" s="1"/>
  <c r="P151" i="1" s="1"/>
  <c r="H142" i="1"/>
  <c r="H144" i="1" s="1"/>
  <c r="F172" i="1" l="1"/>
  <c r="F173" i="1" s="1"/>
  <c r="F174" i="1" s="1"/>
  <c r="N217" i="2"/>
  <c r="N205" i="2"/>
  <c r="O188" i="2"/>
  <c r="O189" i="2" s="1"/>
  <c r="P185" i="2"/>
  <c r="P186" i="2" s="1"/>
  <c r="P187" i="2" s="1"/>
  <c r="P143" i="2"/>
  <c r="P145" i="2" s="1"/>
  <c r="AB156" i="2"/>
  <c r="AC153" i="2"/>
  <c r="AC155" i="2" s="1"/>
  <c r="P209" i="2"/>
  <c r="Q138" i="2"/>
  <c r="Q141" i="2" s="1"/>
  <c r="O183" i="1"/>
  <c r="O157" i="1"/>
  <c r="F198" i="1"/>
  <c r="F199" i="1"/>
  <c r="L184" i="1"/>
  <c r="L163" i="1"/>
  <c r="L168" i="1" s="1"/>
  <c r="L169" i="1" s="1"/>
  <c r="L171" i="1" s="1"/>
  <c r="F175" i="1"/>
  <c r="F176" i="1" s="1"/>
  <c r="G130" i="1"/>
  <c r="G133" i="1"/>
  <c r="M160" i="1"/>
  <c r="M161" i="1"/>
  <c r="M185" i="1" s="1"/>
  <c r="N158" i="1"/>
  <c r="P167" i="1"/>
  <c r="P181" i="1" s="1"/>
  <c r="P155" i="1"/>
  <c r="P154" i="1"/>
  <c r="Q149" i="1"/>
  <c r="Q150" i="1" s="1"/>
  <c r="Q151" i="1" s="1"/>
  <c r="I142" i="1"/>
  <c r="I144" i="1" s="1"/>
  <c r="F200" i="1" l="1"/>
  <c r="AD153" i="2"/>
  <c r="AD155" i="2" s="1"/>
  <c r="AD156" i="2" s="1"/>
  <c r="AC156" i="2"/>
  <c r="P188" i="2"/>
  <c r="P189" i="2" s="1"/>
  <c r="P200" i="2" s="1"/>
  <c r="P201" i="2" s="1"/>
  <c r="P203" i="2" s="1"/>
  <c r="O200" i="2"/>
  <c r="O201" i="2" s="1"/>
  <c r="O203" i="2" s="1"/>
  <c r="O190" i="2"/>
  <c r="Q144" i="2"/>
  <c r="P211" i="2"/>
  <c r="P212" i="2"/>
  <c r="F177" i="1"/>
  <c r="F187" i="1"/>
  <c r="F188" i="1" s="1"/>
  <c r="F190" i="1" s="1"/>
  <c r="F204" i="1" s="1"/>
  <c r="M184" i="1"/>
  <c r="M163" i="1"/>
  <c r="M168" i="1" s="1"/>
  <c r="M169" i="1" s="1"/>
  <c r="M171" i="1" s="1"/>
  <c r="Q167" i="1"/>
  <c r="N161" i="1"/>
  <c r="N185" i="1" s="1"/>
  <c r="N160" i="1"/>
  <c r="H127" i="1"/>
  <c r="G196" i="1"/>
  <c r="O158" i="1"/>
  <c r="P183" i="1"/>
  <c r="P157" i="1"/>
  <c r="G132" i="1"/>
  <c r="G134" i="1" s="1"/>
  <c r="G172" i="1"/>
  <c r="G173" i="1" s="1"/>
  <c r="G174" i="1" s="1"/>
  <c r="Q155" i="1"/>
  <c r="Q154" i="1"/>
  <c r="R149" i="1"/>
  <c r="R150" i="1" s="1"/>
  <c r="R151" i="1" s="1"/>
  <c r="J142" i="1"/>
  <c r="J144" i="1" s="1"/>
  <c r="P190" i="2" l="1"/>
  <c r="Q185" i="2"/>
  <c r="Q186" i="2" s="1"/>
  <c r="Q143" i="2"/>
  <c r="Q145" i="2" s="1"/>
  <c r="P205" i="2"/>
  <c r="P217" i="2"/>
  <c r="Q209" i="2"/>
  <c r="R138" i="2"/>
  <c r="R141" i="2" s="1"/>
  <c r="O205" i="2"/>
  <c r="O217" i="2"/>
  <c r="G175" i="1"/>
  <c r="G176" i="1" s="1"/>
  <c r="H133" i="1"/>
  <c r="H130" i="1"/>
  <c r="Q181" i="1"/>
  <c r="F192" i="1"/>
  <c r="N184" i="1"/>
  <c r="N163" i="1"/>
  <c r="N168" i="1" s="1"/>
  <c r="N169" i="1" s="1"/>
  <c r="N171" i="1" s="1"/>
  <c r="Q183" i="1"/>
  <c r="Q157" i="1"/>
  <c r="G198" i="1"/>
  <c r="G199" i="1"/>
  <c r="O161" i="1"/>
  <c r="O185" i="1" s="1"/>
  <c r="O160" i="1"/>
  <c r="R167" i="1"/>
  <c r="P158" i="1"/>
  <c r="R155" i="1"/>
  <c r="R154" i="1"/>
  <c r="S149" i="1"/>
  <c r="S150" i="1" s="1"/>
  <c r="S151" i="1" s="1"/>
  <c r="K142" i="1"/>
  <c r="K144" i="1" s="1"/>
  <c r="R144" i="2" l="1"/>
  <c r="Q211" i="2"/>
  <c r="Q212" i="2"/>
  <c r="Q187" i="2"/>
  <c r="R181" i="1"/>
  <c r="G200" i="1"/>
  <c r="P160" i="1"/>
  <c r="P161" i="1"/>
  <c r="P185" i="1" s="1"/>
  <c r="O184" i="1"/>
  <c r="O163" i="1"/>
  <c r="O168" i="1" s="1"/>
  <c r="O169" i="1" s="1"/>
  <c r="O171" i="1" s="1"/>
  <c r="Q158" i="1"/>
  <c r="G177" i="1"/>
  <c r="G187" i="1"/>
  <c r="G188" i="1" s="1"/>
  <c r="G190" i="1" s="1"/>
  <c r="G204" i="1" s="1"/>
  <c r="S167" i="1"/>
  <c r="S181" i="1" s="1"/>
  <c r="I127" i="1"/>
  <c r="H196" i="1"/>
  <c r="R183" i="1"/>
  <c r="R157" i="1"/>
  <c r="H132" i="1"/>
  <c r="H134" i="1" s="1"/>
  <c r="H172" i="1"/>
  <c r="H173" i="1" s="1"/>
  <c r="H174" i="1" s="1"/>
  <c r="S154" i="1"/>
  <c r="S155" i="1"/>
  <c r="T149" i="1"/>
  <c r="T150" i="1" s="1"/>
  <c r="T151" i="1" s="1"/>
  <c r="L142" i="1"/>
  <c r="L144" i="1" s="1"/>
  <c r="Q188" i="2" l="1"/>
  <c r="Q189" i="2" s="1"/>
  <c r="R143" i="2"/>
  <c r="R145" i="2" s="1"/>
  <c r="R185" i="2"/>
  <c r="R186" i="2" s="1"/>
  <c r="R209" i="2"/>
  <c r="S138" i="2"/>
  <c r="S141" i="2" s="1"/>
  <c r="I133" i="1"/>
  <c r="I130" i="1"/>
  <c r="T167" i="1"/>
  <c r="T181" i="1" s="1"/>
  <c r="R158" i="1"/>
  <c r="H175" i="1"/>
  <c r="H176" i="1" s="1"/>
  <c r="Q160" i="1"/>
  <c r="Q161" i="1"/>
  <c r="Q185" i="1" s="1"/>
  <c r="S183" i="1"/>
  <c r="S157" i="1"/>
  <c r="H198" i="1"/>
  <c r="H199" i="1"/>
  <c r="G192" i="1"/>
  <c r="P184" i="1"/>
  <c r="P163" i="1"/>
  <c r="P168" i="1" s="1"/>
  <c r="P169" i="1" s="1"/>
  <c r="P171" i="1" s="1"/>
  <c r="T154" i="1"/>
  <c r="T155" i="1"/>
  <c r="U149" i="1"/>
  <c r="U150" i="1" s="1"/>
  <c r="U151" i="1" s="1"/>
  <c r="M142" i="1"/>
  <c r="M144" i="1" s="1"/>
  <c r="H200" i="1" l="1"/>
  <c r="S144" i="2"/>
  <c r="S209" i="2" s="1"/>
  <c r="R211" i="2"/>
  <c r="R212" i="2"/>
  <c r="Q200" i="2"/>
  <c r="Q201" i="2" s="1"/>
  <c r="Q203" i="2" s="1"/>
  <c r="Q190" i="2"/>
  <c r="R187" i="2"/>
  <c r="H177" i="1"/>
  <c r="H187" i="1"/>
  <c r="H188" i="1" s="1"/>
  <c r="H190" i="1" s="1"/>
  <c r="H204" i="1" s="1"/>
  <c r="R161" i="1"/>
  <c r="R185" i="1" s="1"/>
  <c r="R160" i="1"/>
  <c r="S158" i="1"/>
  <c r="Q184" i="1"/>
  <c r="Q163" i="1"/>
  <c r="Q168" i="1" s="1"/>
  <c r="Q169" i="1" s="1"/>
  <c r="Q171" i="1" s="1"/>
  <c r="I132" i="1"/>
  <c r="I134" i="1" s="1"/>
  <c r="I172" i="1"/>
  <c r="I173" i="1" s="1"/>
  <c r="I174" i="1" s="1"/>
  <c r="T183" i="1"/>
  <c r="T157" i="1"/>
  <c r="U167" i="1"/>
  <c r="J127" i="1"/>
  <c r="I196" i="1"/>
  <c r="U155" i="1"/>
  <c r="U154" i="1"/>
  <c r="V149" i="1"/>
  <c r="V150" i="1" s="1"/>
  <c r="V151" i="1" s="1"/>
  <c r="N142" i="1"/>
  <c r="N144" i="1" s="1"/>
  <c r="R188" i="2" l="1"/>
  <c r="R189" i="2" s="1"/>
  <c r="S185" i="2"/>
  <c r="S186" i="2" s="1"/>
  <c r="S143" i="2"/>
  <c r="S145" i="2" s="1"/>
  <c r="Q205" i="2"/>
  <c r="Q217" i="2"/>
  <c r="S211" i="2"/>
  <c r="S212" i="2"/>
  <c r="J130" i="1"/>
  <c r="J133" i="1"/>
  <c r="I175" i="1"/>
  <c r="I176" i="1" s="1"/>
  <c r="S161" i="1"/>
  <c r="S185" i="1" s="1"/>
  <c r="S160" i="1"/>
  <c r="V167" i="1"/>
  <c r="U181" i="1"/>
  <c r="U183" i="1"/>
  <c r="U157" i="1"/>
  <c r="I198" i="1"/>
  <c r="I199" i="1"/>
  <c r="T158" i="1"/>
  <c r="R184" i="1"/>
  <c r="R163" i="1"/>
  <c r="R168" i="1" s="1"/>
  <c r="R169" i="1" s="1"/>
  <c r="R171" i="1" s="1"/>
  <c r="H192" i="1"/>
  <c r="V154" i="1"/>
  <c r="V155" i="1"/>
  <c r="W149" i="1"/>
  <c r="W150" i="1" s="1"/>
  <c r="W151" i="1" s="1"/>
  <c r="O142" i="1"/>
  <c r="O144" i="1" s="1"/>
  <c r="B215" i="2" l="1"/>
  <c r="S187" i="2"/>
  <c r="R200" i="2"/>
  <c r="R201" i="2" s="1"/>
  <c r="R203" i="2" s="1"/>
  <c r="R190" i="2"/>
  <c r="W167" i="1"/>
  <c r="W181" i="1" s="1"/>
  <c r="I200" i="1"/>
  <c r="K127" i="1"/>
  <c r="J196" i="1"/>
  <c r="S184" i="1"/>
  <c r="S163" i="1"/>
  <c r="S168" i="1" s="1"/>
  <c r="S169" i="1" s="1"/>
  <c r="S171" i="1" s="1"/>
  <c r="U158" i="1"/>
  <c r="J132" i="1"/>
  <c r="J134" i="1" s="1"/>
  <c r="J172" i="1"/>
  <c r="J173" i="1" s="1"/>
  <c r="J174" i="1" s="1"/>
  <c r="V183" i="1"/>
  <c r="V157" i="1"/>
  <c r="T160" i="1"/>
  <c r="T161" i="1"/>
  <c r="T185" i="1" s="1"/>
  <c r="V181" i="1"/>
  <c r="I177" i="1"/>
  <c r="I187" i="1"/>
  <c r="I188" i="1" s="1"/>
  <c r="I190" i="1" s="1"/>
  <c r="I204" i="1" s="1"/>
  <c r="W154" i="1"/>
  <c r="W155" i="1"/>
  <c r="X149" i="1"/>
  <c r="X150" i="1" s="1"/>
  <c r="X151" i="1" s="1"/>
  <c r="P142" i="1"/>
  <c r="P144" i="1" s="1"/>
  <c r="R217" i="2" l="1"/>
  <c r="R205" i="2"/>
  <c r="S188" i="2"/>
  <c r="S189" i="2" s="1"/>
  <c r="T187" i="2"/>
  <c r="W183" i="1"/>
  <c r="W157" i="1"/>
  <c r="T184" i="1"/>
  <c r="T163" i="1"/>
  <c r="T168" i="1" s="1"/>
  <c r="T169" i="1" s="1"/>
  <c r="T171" i="1" s="1"/>
  <c r="T173" i="1" s="1"/>
  <c r="J175" i="1"/>
  <c r="J176" i="1" s="1"/>
  <c r="I192" i="1"/>
  <c r="U160" i="1"/>
  <c r="U161" i="1"/>
  <c r="U185" i="1" s="1"/>
  <c r="J198" i="1"/>
  <c r="J199" i="1"/>
  <c r="X167" i="1"/>
  <c r="X181" i="1" s="1"/>
  <c r="V158" i="1"/>
  <c r="K130" i="1"/>
  <c r="K133" i="1"/>
  <c r="X154" i="1"/>
  <c r="X155" i="1"/>
  <c r="Y149" i="1"/>
  <c r="Y150" i="1" s="1"/>
  <c r="Y151" i="1" s="1"/>
  <c r="Q142" i="1"/>
  <c r="Q144" i="1" s="1"/>
  <c r="J200" i="1" l="1"/>
  <c r="S200" i="2"/>
  <c r="S201" i="2" s="1"/>
  <c r="S203" i="2" s="1"/>
  <c r="S190" i="2"/>
  <c r="U187" i="2"/>
  <c r="T188" i="2"/>
  <c r="T189" i="2" s="1"/>
  <c r="L127" i="1"/>
  <c r="K196" i="1"/>
  <c r="X183" i="1"/>
  <c r="X157" i="1"/>
  <c r="U184" i="1"/>
  <c r="U163" i="1"/>
  <c r="U168" i="1" s="1"/>
  <c r="U169" i="1" s="1"/>
  <c r="U171" i="1" s="1"/>
  <c r="U173" i="1" s="1"/>
  <c r="W158" i="1"/>
  <c r="K132" i="1"/>
  <c r="K134" i="1" s="1"/>
  <c r="K172" i="1"/>
  <c r="K173" i="1" s="1"/>
  <c r="K174" i="1" s="1"/>
  <c r="V161" i="1"/>
  <c r="V185" i="1" s="1"/>
  <c r="V160" i="1"/>
  <c r="Y167" i="1"/>
  <c r="J177" i="1"/>
  <c r="J187" i="1"/>
  <c r="J188" i="1" s="1"/>
  <c r="J190" i="1" s="1"/>
  <c r="Y155" i="1"/>
  <c r="Y154" i="1"/>
  <c r="Z149" i="1"/>
  <c r="Z150" i="1" s="1"/>
  <c r="Z151" i="1" s="1"/>
  <c r="R142" i="1"/>
  <c r="R144" i="1" s="1"/>
  <c r="J192" i="1" l="1"/>
  <c r="J204" i="1"/>
  <c r="T200" i="2"/>
  <c r="T201" i="2" s="1"/>
  <c r="T203" i="2" s="1"/>
  <c r="T205" i="2" s="1"/>
  <c r="T190" i="2"/>
  <c r="V187" i="2"/>
  <c r="U188" i="2"/>
  <c r="U189" i="2" s="1"/>
  <c r="S205" i="2"/>
  <c r="S217" i="2"/>
  <c r="B218" i="2" s="1"/>
  <c r="X158" i="1"/>
  <c r="Z167" i="1"/>
  <c r="Y181" i="1"/>
  <c r="K175" i="1"/>
  <c r="K176" i="1" s="1"/>
  <c r="Y183" i="1"/>
  <c r="Y157" i="1"/>
  <c r="V184" i="1"/>
  <c r="V163" i="1"/>
  <c r="V168" i="1" s="1"/>
  <c r="V169" i="1" s="1"/>
  <c r="V171" i="1" s="1"/>
  <c r="V173" i="1" s="1"/>
  <c r="K198" i="1"/>
  <c r="K199" i="1"/>
  <c r="W161" i="1"/>
  <c r="W185" i="1" s="1"/>
  <c r="W160" i="1"/>
  <c r="L130" i="1"/>
  <c r="L133" i="1"/>
  <c r="Z155" i="1"/>
  <c r="Z154" i="1"/>
  <c r="AA149" i="1"/>
  <c r="AA150" i="1" s="1"/>
  <c r="AA151" i="1" s="1"/>
  <c r="S142" i="1"/>
  <c r="S144" i="1" s="1"/>
  <c r="U200" i="2" l="1"/>
  <c r="U201" i="2" s="1"/>
  <c r="U203" i="2" s="1"/>
  <c r="U190" i="2"/>
  <c r="W187" i="2"/>
  <c r="V188" i="2"/>
  <c r="V189" i="2" s="1"/>
  <c r="K177" i="1"/>
  <c r="K187" i="1"/>
  <c r="K188" i="1" s="1"/>
  <c r="K190" i="1" s="1"/>
  <c r="K200" i="1"/>
  <c r="Y158" i="1"/>
  <c r="X160" i="1"/>
  <c r="X161" i="1"/>
  <c r="X185" i="1" s="1"/>
  <c r="W184" i="1"/>
  <c r="W163" i="1"/>
  <c r="W168" i="1" s="1"/>
  <c r="W169" i="1" s="1"/>
  <c r="W171" i="1" s="1"/>
  <c r="W173" i="1" s="1"/>
  <c r="Z183" i="1"/>
  <c r="Z157" i="1"/>
  <c r="M127" i="1"/>
  <c r="L196" i="1"/>
  <c r="Z181" i="1"/>
  <c r="L132" i="1"/>
  <c r="L134" i="1" s="1"/>
  <c r="L172" i="1"/>
  <c r="L173" i="1" s="1"/>
  <c r="L174" i="1" s="1"/>
  <c r="AA167" i="1"/>
  <c r="AA181" i="1" s="1"/>
  <c r="AA154" i="1"/>
  <c r="AA155" i="1"/>
  <c r="AB149" i="1"/>
  <c r="AB150" i="1" s="1"/>
  <c r="AB151" i="1" s="1"/>
  <c r="T142" i="1"/>
  <c r="T144" i="1" s="1"/>
  <c r="K192" i="1" l="1"/>
  <c r="K204" i="1"/>
  <c r="V200" i="2"/>
  <c r="V201" i="2" s="1"/>
  <c r="V203" i="2" s="1"/>
  <c r="V190" i="2"/>
  <c r="W188" i="2"/>
  <c r="W189" i="2" s="1"/>
  <c r="X187" i="2"/>
  <c r="U205" i="2"/>
  <c r="X184" i="1"/>
  <c r="X163" i="1"/>
  <c r="X168" i="1" s="1"/>
  <c r="X169" i="1" s="1"/>
  <c r="X171" i="1" s="1"/>
  <c r="X173" i="1" s="1"/>
  <c r="L199" i="1"/>
  <c r="L198" i="1"/>
  <c r="AA183" i="1"/>
  <c r="AA157" i="1"/>
  <c r="Z158" i="1"/>
  <c r="L175" i="1"/>
  <c r="L176" i="1" s="1"/>
  <c r="AB167" i="1"/>
  <c r="AB181" i="1" s="1"/>
  <c r="M130" i="1"/>
  <c r="M133" i="1"/>
  <c r="Y160" i="1"/>
  <c r="Y161" i="1"/>
  <c r="Y185" i="1" s="1"/>
  <c r="AB154" i="1"/>
  <c r="AB155" i="1"/>
  <c r="AC149" i="1"/>
  <c r="U142" i="1"/>
  <c r="U144" i="1" s="1"/>
  <c r="V205" i="2" l="1"/>
  <c r="Y187" i="2"/>
  <c r="X188" i="2"/>
  <c r="X189" i="2" s="1"/>
  <c r="W200" i="2"/>
  <c r="W201" i="2" s="1"/>
  <c r="W203" i="2" s="1"/>
  <c r="W190" i="2"/>
  <c r="L177" i="1"/>
  <c r="L187" i="1"/>
  <c r="L188" i="1" s="1"/>
  <c r="L190" i="1" s="1"/>
  <c r="N127" i="1"/>
  <c r="M196" i="1"/>
  <c r="M132" i="1"/>
  <c r="M134" i="1" s="1"/>
  <c r="M172" i="1"/>
  <c r="M173" i="1" s="1"/>
  <c r="M174" i="1" s="1"/>
  <c r="AA158" i="1"/>
  <c r="AB183" i="1"/>
  <c r="AB157" i="1"/>
  <c r="Y184" i="1"/>
  <c r="Y163" i="1"/>
  <c r="Y168" i="1" s="1"/>
  <c r="Y169" i="1" s="1"/>
  <c r="Y171" i="1" s="1"/>
  <c r="Y173" i="1" s="1"/>
  <c r="Z161" i="1"/>
  <c r="Z185" i="1" s="1"/>
  <c r="Z160" i="1"/>
  <c r="L200" i="1"/>
  <c r="AC150" i="1"/>
  <c r="AC151" i="1" s="1"/>
  <c r="AD149" i="1"/>
  <c r="AD150" i="1" s="1"/>
  <c r="AD151" i="1" s="1"/>
  <c r="V142" i="1"/>
  <c r="V144" i="1" s="1"/>
  <c r="L192" i="1" l="1"/>
  <c r="L204" i="1"/>
  <c r="X200" i="2"/>
  <c r="X201" i="2" s="1"/>
  <c r="X203" i="2" s="1"/>
  <c r="X205" i="2" s="1"/>
  <c r="X190" i="2"/>
  <c r="W205" i="2"/>
  <c r="Z187" i="2"/>
  <c r="Y188" i="2"/>
  <c r="Y189" i="2" s="1"/>
  <c r="AC167" i="1"/>
  <c r="AD167" i="1"/>
  <c r="M175" i="1"/>
  <c r="M176" i="1" s="1"/>
  <c r="Z184" i="1"/>
  <c r="Z163" i="1"/>
  <c r="Z168" i="1" s="1"/>
  <c r="Z169" i="1" s="1"/>
  <c r="Z171" i="1" s="1"/>
  <c r="Z173" i="1" s="1"/>
  <c r="AA161" i="1"/>
  <c r="AA185" i="1" s="1"/>
  <c r="AA160" i="1"/>
  <c r="M198" i="1"/>
  <c r="M199" i="1"/>
  <c r="N133" i="1"/>
  <c r="N130" i="1"/>
  <c r="AB158" i="1"/>
  <c r="AC155" i="1"/>
  <c r="AC154" i="1"/>
  <c r="AD155" i="1"/>
  <c r="AD154" i="1"/>
  <c r="AF149" i="1"/>
  <c r="AF150" i="1" s="1"/>
  <c r="AF151" i="1" s="1"/>
  <c r="AE149" i="1"/>
  <c r="AE150" i="1" s="1"/>
  <c r="AE151" i="1" s="1"/>
  <c r="W142" i="1"/>
  <c r="W144" i="1" s="1"/>
  <c r="M200" i="1" l="1"/>
  <c r="Z188" i="2"/>
  <c r="Z189" i="2" s="1"/>
  <c r="AA187" i="2"/>
  <c r="Y200" i="2"/>
  <c r="Y201" i="2" s="1"/>
  <c r="Y203" i="2" s="1"/>
  <c r="Y205" i="2" s="1"/>
  <c r="Y190" i="2"/>
  <c r="AE167" i="1"/>
  <c r="AE181" i="1" s="1"/>
  <c r="AC183" i="1"/>
  <c r="AC157" i="1"/>
  <c r="N132" i="1"/>
  <c r="N134" i="1" s="1"/>
  <c r="N172" i="1"/>
  <c r="N173" i="1" s="1"/>
  <c r="N174" i="1" s="1"/>
  <c r="AD181" i="1"/>
  <c r="O127" i="1"/>
  <c r="N196" i="1"/>
  <c r="AA184" i="1"/>
  <c r="AA163" i="1"/>
  <c r="AA168" i="1" s="1"/>
  <c r="AA169" i="1" s="1"/>
  <c r="AA171" i="1" s="1"/>
  <c r="AA173" i="1" s="1"/>
  <c r="AD183" i="1"/>
  <c r="AD157" i="1"/>
  <c r="AC181" i="1"/>
  <c r="AF167" i="1"/>
  <c r="AF181" i="1" s="1"/>
  <c r="AB160" i="1"/>
  <c r="AB161" i="1"/>
  <c r="AB185" i="1" s="1"/>
  <c r="M177" i="1"/>
  <c r="M187" i="1"/>
  <c r="M188" i="1" s="1"/>
  <c r="M190" i="1" s="1"/>
  <c r="AE154" i="1"/>
  <c r="AE155" i="1"/>
  <c r="AF154" i="1"/>
  <c r="AF155" i="1"/>
  <c r="X142" i="1"/>
  <c r="X144" i="1" s="1"/>
  <c r="M192" i="1" l="1"/>
  <c r="M204" i="1"/>
  <c r="AA188" i="2"/>
  <c r="AA189" i="2" s="1"/>
  <c r="AB187" i="2"/>
  <c r="Z200" i="2"/>
  <c r="Z201" i="2" s="1"/>
  <c r="Z203" i="2" s="1"/>
  <c r="Z205" i="2" s="1"/>
  <c r="Z190" i="2"/>
  <c r="AE183" i="1"/>
  <c r="AE157" i="1"/>
  <c r="AD158" i="1"/>
  <c r="N198" i="1"/>
  <c r="N199" i="1"/>
  <c r="AF183" i="1"/>
  <c r="AF157" i="1"/>
  <c r="O130" i="1"/>
  <c r="O133" i="1"/>
  <c r="N175" i="1"/>
  <c r="N176" i="1" s="1"/>
  <c r="AB184" i="1"/>
  <c r="AB163" i="1"/>
  <c r="AB168" i="1" s="1"/>
  <c r="AB169" i="1" s="1"/>
  <c r="AB171" i="1" s="1"/>
  <c r="AB173" i="1" s="1"/>
  <c r="AC158" i="1"/>
  <c r="Y142" i="1"/>
  <c r="Y144" i="1" s="1"/>
  <c r="AC187" i="2" l="1"/>
  <c r="AB188" i="2"/>
  <c r="AB189" i="2" s="1"/>
  <c r="AA200" i="2"/>
  <c r="AA201" i="2" s="1"/>
  <c r="AA203" i="2" s="1"/>
  <c r="AA205" i="2" s="1"/>
  <c r="AA190" i="2"/>
  <c r="N200" i="1"/>
  <c r="P127" i="1"/>
  <c r="O196" i="1"/>
  <c r="AC160" i="1"/>
  <c r="AC161" i="1"/>
  <c r="AC185" i="1" s="1"/>
  <c r="O132" i="1"/>
  <c r="O134" i="1" s="1"/>
  <c r="O172" i="1"/>
  <c r="O173" i="1" s="1"/>
  <c r="O174" i="1" s="1"/>
  <c r="N177" i="1"/>
  <c r="N187" i="1"/>
  <c r="N188" i="1" s="1"/>
  <c r="N190" i="1" s="1"/>
  <c r="AF158" i="1"/>
  <c r="AD161" i="1"/>
  <c r="AD185" i="1" s="1"/>
  <c r="AD160" i="1"/>
  <c r="AE158" i="1"/>
  <c r="Z142" i="1"/>
  <c r="Z144" i="1" s="1"/>
  <c r="N192" i="1" l="1"/>
  <c r="N204" i="1"/>
  <c r="AB200" i="2"/>
  <c r="AB201" i="2" s="1"/>
  <c r="AB203" i="2" s="1"/>
  <c r="AB205" i="2" s="1"/>
  <c r="AB190" i="2"/>
  <c r="AD187" i="2"/>
  <c r="AC188" i="2"/>
  <c r="AC189" i="2" s="1"/>
  <c r="P130" i="1"/>
  <c r="P133" i="1"/>
  <c r="AC184" i="1"/>
  <c r="AC163" i="1"/>
  <c r="AC168" i="1" s="1"/>
  <c r="AC169" i="1" s="1"/>
  <c r="AC171" i="1" s="1"/>
  <c r="AC173" i="1" s="1"/>
  <c r="AD184" i="1"/>
  <c r="AD163" i="1"/>
  <c r="AD168" i="1" s="1"/>
  <c r="AD169" i="1" s="1"/>
  <c r="AD171" i="1" s="1"/>
  <c r="AD173" i="1" s="1"/>
  <c r="AE161" i="1"/>
  <c r="AE185" i="1" s="1"/>
  <c r="AE160" i="1"/>
  <c r="AF160" i="1"/>
  <c r="AF161" i="1"/>
  <c r="AF185" i="1" s="1"/>
  <c r="O175" i="1"/>
  <c r="O176" i="1" s="1"/>
  <c r="O198" i="1"/>
  <c r="O199" i="1"/>
  <c r="AA142" i="1"/>
  <c r="AA144" i="1" s="1"/>
  <c r="AC200" i="2" l="1"/>
  <c r="AC201" i="2" s="1"/>
  <c r="AC203" i="2" s="1"/>
  <c r="AC205" i="2" s="1"/>
  <c r="AC190" i="2"/>
  <c r="AD188" i="2"/>
  <c r="AD189" i="2" s="1"/>
  <c r="AE187" i="2"/>
  <c r="AE184" i="1"/>
  <c r="AE163" i="1"/>
  <c r="AE168" i="1" s="1"/>
  <c r="AE169" i="1" s="1"/>
  <c r="AE171" i="1" s="1"/>
  <c r="AE173" i="1" s="1"/>
  <c r="O177" i="1"/>
  <c r="O187" i="1"/>
  <c r="O188" i="1" s="1"/>
  <c r="O190" i="1" s="1"/>
  <c r="Q127" i="1"/>
  <c r="P196" i="1"/>
  <c r="O200" i="1"/>
  <c r="AF184" i="1"/>
  <c r="AF163" i="1"/>
  <c r="AF168" i="1" s="1"/>
  <c r="AF169" i="1" s="1"/>
  <c r="AF171" i="1" s="1"/>
  <c r="AF173" i="1" s="1"/>
  <c r="P132" i="1"/>
  <c r="P134" i="1" s="1"/>
  <c r="P172" i="1"/>
  <c r="P173" i="1" s="1"/>
  <c r="P174" i="1" s="1"/>
  <c r="AB142" i="1"/>
  <c r="AB144" i="1" s="1"/>
  <c r="O192" i="1" l="1"/>
  <c r="O204" i="1"/>
  <c r="AE188" i="2"/>
  <c r="AE189" i="2" s="1"/>
  <c r="AF187" i="2"/>
  <c r="AF188" i="2" s="1"/>
  <c r="AF189" i="2" s="1"/>
  <c r="AD200" i="2"/>
  <c r="AD201" i="2" s="1"/>
  <c r="AD203" i="2" s="1"/>
  <c r="AD205" i="2" s="1"/>
  <c r="AD190" i="2"/>
  <c r="P175" i="1"/>
  <c r="P176" i="1" s="1"/>
  <c r="P198" i="1"/>
  <c r="P199" i="1"/>
  <c r="Q130" i="1"/>
  <c r="Q133" i="1"/>
  <c r="AC142" i="1"/>
  <c r="AC144" i="1" s="1"/>
  <c r="AF200" i="2" l="1"/>
  <c r="AF201" i="2" s="1"/>
  <c r="AF203" i="2" s="1"/>
  <c r="AF190" i="2"/>
  <c r="AE200" i="2"/>
  <c r="AE201" i="2" s="1"/>
  <c r="AE203" i="2" s="1"/>
  <c r="AE205" i="2" s="1"/>
  <c r="AE190" i="2"/>
  <c r="Q132" i="1"/>
  <c r="Q134" i="1" s="1"/>
  <c r="Q172" i="1"/>
  <c r="Q173" i="1" s="1"/>
  <c r="Q174" i="1" s="1"/>
  <c r="P177" i="1"/>
  <c r="P187" i="1"/>
  <c r="P188" i="1" s="1"/>
  <c r="P190" i="1" s="1"/>
  <c r="R127" i="1"/>
  <c r="Q196" i="1"/>
  <c r="P200" i="1"/>
  <c r="AD142" i="1"/>
  <c r="AD144" i="1" s="1"/>
  <c r="B238" i="2" l="1"/>
  <c r="P192" i="1"/>
  <c r="P204" i="1"/>
  <c r="AF205" i="2"/>
  <c r="B221" i="2" s="1"/>
  <c r="B216" i="2"/>
  <c r="Q198" i="1"/>
  <c r="Q199" i="1"/>
  <c r="Q175" i="1"/>
  <c r="Q176" i="1" s="1"/>
  <c r="R133" i="1"/>
  <c r="R130" i="1"/>
  <c r="Q200" i="1" l="1"/>
  <c r="B222" i="2"/>
  <c r="S127" i="1"/>
  <c r="R196" i="1"/>
  <c r="Q177" i="1"/>
  <c r="Q187" i="1"/>
  <c r="Q188" i="1" s="1"/>
  <c r="Q190" i="1" s="1"/>
  <c r="R132" i="1"/>
  <c r="R134" i="1" s="1"/>
  <c r="R172" i="1"/>
  <c r="R173" i="1" s="1"/>
  <c r="R174" i="1" s="1"/>
  <c r="Q192" i="1" l="1"/>
  <c r="Q204" i="1"/>
  <c r="R175" i="1"/>
  <c r="R176" i="1" s="1"/>
  <c r="R198" i="1"/>
  <c r="R199" i="1"/>
  <c r="S133" i="1"/>
  <c r="S196" i="1" s="1"/>
  <c r="S130" i="1"/>
  <c r="R200" i="1" l="1"/>
  <c r="S132" i="1"/>
  <c r="S134" i="1" s="1"/>
  <c r="S172" i="1"/>
  <c r="S173" i="1" s="1"/>
  <c r="S174" i="1" s="1"/>
  <c r="S198" i="1"/>
  <c r="S199" i="1"/>
  <c r="R177" i="1"/>
  <c r="R187" i="1"/>
  <c r="R188" i="1" s="1"/>
  <c r="R190" i="1" s="1"/>
  <c r="R192" i="1" l="1"/>
  <c r="R204" i="1"/>
  <c r="S200" i="1"/>
  <c r="C201" i="1" s="1"/>
  <c r="S175" i="1"/>
  <c r="S176" i="1" s="1"/>
  <c r="T174" i="1"/>
  <c r="T175" i="1" l="1"/>
  <c r="T176" i="1" s="1"/>
  <c r="U174" i="1"/>
  <c r="S177" i="1"/>
  <c r="S187" i="1"/>
  <c r="S188" i="1" s="1"/>
  <c r="S190" i="1" s="1"/>
  <c r="S192" i="1" l="1"/>
  <c r="S204" i="1"/>
  <c r="B205" i="1" s="1"/>
  <c r="T177" i="1"/>
  <c r="T187" i="1"/>
  <c r="T188" i="1" s="1"/>
  <c r="T190" i="1" s="1"/>
  <c r="U175" i="1"/>
  <c r="U176" i="1" s="1"/>
  <c r="V174" i="1"/>
  <c r="V175" i="1" l="1"/>
  <c r="V176" i="1" s="1"/>
  <c r="W174" i="1"/>
  <c r="T192" i="1"/>
  <c r="U177" i="1"/>
  <c r="U187" i="1"/>
  <c r="U188" i="1" s="1"/>
  <c r="U190" i="1" s="1"/>
  <c r="U192" i="1" s="1"/>
  <c r="W175" i="1" l="1"/>
  <c r="W176" i="1" s="1"/>
  <c r="X174" i="1"/>
  <c r="V177" i="1"/>
  <c r="V187" i="1"/>
  <c r="V188" i="1" s="1"/>
  <c r="V190" i="1" s="1"/>
  <c r="V192" i="1" s="1"/>
  <c r="X175" i="1" l="1"/>
  <c r="X176" i="1" s="1"/>
  <c r="Y174" i="1"/>
  <c r="W177" i="1"/>
  <c r="W187" i="1"/>
  <c r="W188" i="1" s="1"/>
  <c r="W190" i="1" s="1"/>
  <c r="W192" i="1" s="1"/>
  <c r="Y175" i="1" l="1"/>
  <c r="Y176" i="1" s="1"/>
  <c r="Z174" i="1"/>
  <c r="X177" i="1"/>
  <c r="X187" i="1"/>
  <c r="X188" i="1" s="1"/>
  <c r="X190" i="1" s="1"/>
  <c r="X192" i="1" s="1"/>
  <c r="Z175" i="1" l="1"/>
  <c r="Z176" i="1" s="1"/>
  <c r="AA174" i="1"/>
  <c r="Y177" i="1"/>
  <c r="Y187" i="1"/>
  <c r="Y188" i="1" s="1"/>
  <c r="Y190" i="1" s="1"/>
  <c r="Y192" i="1" s="1"/>
  <c r="Z177" i="1" l="1"/>
  <c r="Z187" i="1"/>
  <c r="Z188" i="1" s="1"/>
  <c r="Z190" i="1" s="1"/>
  <c r="Z192" i="1" s="1"/>
  <c r="AA175" i="1"/>
  <c r="AA176" i="1" s="1"/>
  <c r="AB174" i="1"/>
  <c r="AB175" i="1" l="1"/>
  <c r="AB176" i="1" s="1"/>
  <c r="AC174" i="1"/>
  <c r="AA177" i="1"/>
  <c r="AA187" i="1"/>
  <c r="AA188" i="1" s="1"/>
  <c r="AA190" i="1" s="1"/>
  <c r="AA192" i="1" s="1"/>
  <c r="AC175" i="1" l="1"/>
  <c r="AC176" i="1" s="1"/>
  <c r="AD174" i="1"/>
  <c r="AB177" i="1"/>
  <c r="AB187" i="1"/>
  <c r="AB188" i="1" s="1"/>
  <c r="AB190" i="1" s="1"/>
  <c r="AB192" i="1" s="1"/>
  <c r="AD175" i="1" l="1"/>
  <c r="AD176" i="1" s="1"/>
  <c r="AE174" i="1"/>
  <c r="AC177" i="1"/>
  <c r="AC187" i="1"/>
  <c r="AC188" i="1" s="1"/>
  <c r="AC190" i="1" s="1"/>
  <c r="AC192" i="1" s="1"/>
  <c r="AD177" i="1" l="1"/>
  <c r="AD187" i="1"/>
  <c r="AD188" i="1" s="1"/>
  <c r="AD190" i="1" s="1"/>
  <c r="AD192" i="1" s="1"/>
  <c r="AE175" i="1"/>
  <c r="AE176" i="1" s="1"/>
  <c r="AF174" i="1"/>
  <c r="AF175" i="1" l="1"/>
  <c r="AF176" i="1" s="1"/>
  <c r="AE177" i="1"/>
  <c r="AE187" i="1"/>
  <c r="AE188" i="1" s="1"/>
  <c r="AE190" i="1" s="1"/>
  <c r="AE192" i="1" s="1"/>
  <c r="AF177" i="1" l="1"/>
  <c r="AF187" i="1"/>
  <c r="AF188" i="1" s="1"/>
  <c r="AF190" i="1" s="1"/>
  <c r="AF192" i="1" l="1"/>
  <c r="B203" i="1"/>
  <c r="B209" i="1" l="1"/>
  <c r="B208" i="1"/>
</calcChain>
</file>

<file path=xl/sharedStrings.xml><?xml version="1.0" encoding="utf-8"?>
<sst xmlns="http://schemas.openxmlformats.org/spreadsheetml/2006/main" count="653" uniqueCount="186">
  <si>
    <t>Năm</t>
  </si>
  <si>
    <t>Năm thứ</t>
  </si>
  <si>
    <t>Diện tích đất thuê</t>
  </si>
  <si>
    <t>Diện tích căn hộ 1 phòng ngủ</t>
  </si>
  <si>
    <t>Diện tích căn hộ 2 phòng ngủ</t>
  </si>
  <si>
    <t>Diện tích căn hộ 3 phòng ngủ</t>
  </si>
  <si>
    <t>Tổng số căn hộ 1 phòng ngủ</t>
  </si>
  <si>
    <t>Tổng số căn hộ 2 phòng ngủ</t>
  </si>
  <si>
    <t>Tổng số căn hộ 3 phòng ngủ</t>
  </si>
  <si>
    <t>Hệ số diện tích xây dựng/diện tích căn hộ</t>
  </si>
  <si>
    <t>Diện tích hồ bơi</t>
  </si>
  <si>
    <t>Chi phí nội thất căn hộ 1 phòng ngủ</t>
  </si>
  <si>
    <t>Chi phí nội thất căn hộ 2 phòng ngủ</t>
  </si>
  <si>
    <t>Chi phí nội thất căn hộ 3 phòng ngủ</t>
  </si>
  <si>
    <t>Chi phí nội thất diện tích chung (tính trên diện tích xây dựng)</t>
  </si>
  <si>
    <t>Chi phí xây dựng hồ bơi</t>
  </si>
  <si>
    <t>Tỷ lệ chi phí khác trên tổng chi phí xây dựng</t>
  </si>
  <si>
    <t>Thiết kế</t>
  </si>
  <si>
    <t>Huy động vốn</t>
  </si>
  <si>
    <t>Bảo hiểm</t>
  </si>
  <si>
    <t>Phí hồ sơ</t>
  </si>
  <si>
    <t>Chi phí tiếp thị quảng cáo</t>
  </si>
  <si>
    <t>Chi phí pháp lý và kế toán</t>
  </si>
  <si>
    <t>Quản lý phí</t>
  </si>
  <si>
    <t>Dự phòng chi phí thực (% chi phí đầu tư)</t>
  </si>
  <si>
    <t>Lịch đầu tư</t>
  </si>
  <si>
    <t>Nội thất</t>
  </si>
  <si>
    <t>Chi phí khác</t>
  </si>
  <si>
    <t>Thời gian đầu tư ban đầu</t>
  </si>
  <si>
    <t>Khấu hao công trình xây dựng</t>
  </si>
  <si>
    <t>Khấu hao nội thất</t>
  </si>
  <si>
    <t>Khấu hao chi phí mềm (phần gộp vào công trình kiến trúc)</t>
  </si>
  <si>
    <t>Thời gian phân bổ các chi phí mềm khác vào chi phí kinh doanh</t>
  </si>
  <si>
    <t>Lãi suất tiền gửi 1 năm</t>
  </si>
  <si>
    <t>Chệnh lệch lãi suất tiền gửi và cho vay</t>
  </si>
  <si>
    <t>Lãi suất cho vay danh nghĩa</t>
  </si>
  <si>
    <t>Lãi suất cho vay thực</t>
  </si>
  <si>
    <t>Số năm ân hạn trả nợ gốc, từ khi dự án đi vào hoạt động</t>
  </si>
  <si>
    <t>Số năm trả đều nợ gốc</t>
  </si>
  <si>
    <t>Tốc độ tăng giá cho thuê mỗi năm (giá thực)</t>
  </si>
  <si>
    <t>Tỷ lệ diện tích cho thuê còn trống</t>
  </si>
  <si>
    <t>Thuế Giá trị gia tăng (VAT)</t>
  </si>
  <si>
    <t>Thuế suất thuế thu nhập doanh nghiệp</t>
  </si>
  <si>
    <t>Số năm chuyển lỗ tối đa</t>
  </si>
  <si>
    <t>Chi phí vốn chủ sở hữu</t>
  </si>
  <si>
    <r>
      <t>m</t>
    </r>
    <r>
      <rPr>
        <vertAlign val="superscript"/>
        <sz val="10"/>
        <rFont val="Arial"/>
        <family val="2"/>
      </rPr>
      <t>2</t>
    </r>
  </si>
  <si>
    <t>đơn vị</t>
  </si>
  <si>
    <t>tỷ lệ</t>
  </si>
  <si>
    <r>
      <t>triệu VND/m</t>
    </r>
    <r>
      <rPr>
        <vertAlign val="superscript"/>
        <sz val="10"/>
        <rFont val="Arial"/>
        <family val="2"/>
      </rPr>
      <t>2</t>
    </r>
  </si>
  <si>
    <t>triệu VND</t>
  </si>
  <si>
    <t>năm</t>
  </si>
  <si>
    <t>Cơ cấu căn hộ</t>
  </si>
  <si>
    <t>Chi phí đầu tư</t>
  </si>
  <si>
    <t>Tổng chi phí đầu tư</t>
  </si>
  <si>
    <t>triệu VND/m2</t>
  </si>
  <si>
    <t>Đơn giá xây dựng</t>
  </si>
  <si>
    <t>Lãi vay trong thời gian xây dựng</t>
  </si>
  <si>
    <t>Xây dựng căn hộ</t>
  </si>
  <si>
    <t>Thủ tục, hồ sơ</t>
  </si>
  <si>
    <t>triệu VNĐ</t>
  </si>
  <si>
    <t xml:space="preserve">Vốn chủ sở hữu </t>
  </si>
  <si>
    <t>Giá cho thuê tháng (bao gồm cả VAT), giá 2024</t>
  </si>
  <si>
    <t>Tổng giá trị nợ vay (kể cả lãi vay trong thời gian xây dựng nhập gốc)</t>
  </si>
  <si>
    <t>Tỷ lệ huy động vốn trong 3 năm đầu tư</t>
  </si>
  <si>
    <t>Vốn chủ sở hữu (so với tổng vốn)</t>
  </si>
  <si>
    <t>Vốn vay (so với tổng vốn)</t>
  </si>
  <si>
    <t>Tỷ lệ</t>
  </si>
  <si>
    <t>Khấu hao</t>
  </si>
  <si>
    <t>kể từ khi dự án hoạt động</t>
  </si>
  <si>
    <t>Gía cho thuê</t>
  </si>
  <si>
    <t>Hợp đồng dịch vụ cho thuê</t>
  </si>
  <si>
    <t>Chi phí trực tiếp của dịch vụ cho thuê</t>
  </si>
  <si>
    <t>Chi phí hành chính / thu nhập hiệu dụng</t>
  </si>
  <si>
    <t>Chi phí trực tiếp của dịch vụ cho thuê / thu nhập hiệu dụng</t>
  </si>
  <si>
    <t>Chi phí quản lý / thu nhập ròng</t>
  </si>
  <si>
    <t>Chi phí bảo trì / thu nhập ròng</t>
  </si>
  <si>
    <t>triệu VNĐ/1m2/năm</t>
  </si>
  <si>
    <t>Phí dịch vụ quản lý tiện ích chung (2024)</t>
  </si>
  <si>
    <t>Phí bảo trì tiện ích chung (2024)</t>
  </si>
  <si>
    <t>Lợi nhuận và thuế thu nhập doanh nghiệp</t>
  </si>
  <si>
    <r>
      <t>triệu VND/m</t>
    </r>
    <r>
      <rPr>
        <vertAlign val="superscript"/>
        <sz val="10"/>
        <rFont val="Arial"/>
        <family val="2"/>
      </rPr>
      <t>2</t>
    </r>
    <r>
      <rPr>
        <sz val="12"/>
        <color theme="1"/>
        <rFont val="Calibri"/>
        <family val="2"/>
        <scheme val="minor"/>
      </rPr>
      <t>/năm</t>
    </r>
  </si>
  <si>
    <t>Giá thuê đất, giá 2024</t>
  </si>
  <si>
    <t>bắt đầu trả từ 2027</t>
  </si>
  <si>
    <t>CHI PHÍ ĐẦU TƯ</t>
  </si>
  <si>
    <t>Tổng diện tích căn hộ</t>
  </si>
  <si>
    <t>Tổng diện tích xây dựng</t>
  </si>
  <si>
    <t>Tổng chi phí xây dựng thô</t>
  </si>
  <si>
    <t>Chi phí nội thất căn hộ</t>
  </si>
  <si>
    <t>Chi phí nội thất chung</t>
  </si>
  <si>
    <t>Tổng chi phí đầu tư, chưa bao gồm dự phòng</t>
  </si>
  <si>
    <t>Dự phòng tăng chi phí thực</t>
  </si>
  <si>
    <t>Tổng chi phí xây dựng, giá 2024</t>
  </si>
  <si>
    <t>Chi phí khác, giá 2024</t>
  </si>
  <si>
    <t>Tổng chi phí đầu tư, đã bao gồm dự phòng, giá 2024</t>
  </si>
  <si>
    <t>Ngân lưu chi phí đầu tư theo giá thực, giá 2024</t>
  </si>
  <si>
    <t>Hồ bơi và vườn quan cây cảnh</t>
  </si>
  <si>
    <t>HUY ĐỘNG VỐN</t>
  </si>
  <si>
    <t>Vốn chủ sở hữu</t>
  </si>
  <si>
    <t>Nợ vay</t>
  </si>
  <si>
    <t>Lịch nợ vay</t>
  </si>
  <si>
    <t>Dư nợ đầu kỳ</t>
  </si>
  <si>
    <t>Giải ngân nợ</t>
  </si>
  <si>
    <t>Lãi nhập gốc trong thời gian xây dựng</t>
  </si>
  <si>
    <t>Trả lãi</t>
  </si>
  <si>
    <t>Trả nợ gốc</t>
  </si>
  <si>
    <t>Trả lãi và nợ gốc</t>
  </si>
  <si>
    <t>Dư nợ cuối kỳ</t>
  </si>
  <si>
    <t>Ngân lưu nợ</t>
  </si>
  <si>
    <t>Tổng chi phí đầu tư, kể cả chi phí lãi vay trong thời gian XD</t>
  </si>
  <si>
    <t>Tổng chi phí đầu tư theo giá thực</t>
  </si>
  <si>
    <t>KHẤU HAO</t>
  </si>
  <si>
    <t>Khấu hao chi phí mềm</t>
  </si>
  <si>
    <t>Giá trị tài sản cố định đầu kỳ</t>
  </si>
  <si>
    <t>Khấu hao trong kỳ</t>
  </si>
  <si>
    <t>Giá trị tài sản cố định cuối kỳ</t>
  </si>
  <si>
    <t>DOANH THU</t>
  </si>
  <si>
    <t>Tổng diện tích cho thuê tiềm năng</t>
  </si>
  <si>
    <t>Giá cho thuê (không kể VAT) theo VND</t>
  </si>
  <si>
    <t>Thu nhập gộp tiềm năng, PGI</t>
  </si>
  <si>
    <t xml:space="preserve"> - Thu nhập mất đi do căn hộ trống</t>
  </si>
  <si>
    <t>Thu nhập gộp hiệu dụng, EGI</t>
  </si>
  <si>
    <t>CHI PHÍ HOẠT ĐỘNG</t>
  </si>
  <si>
    <t>Chi phí hành chính</t>
  </si>
  <si>
    <t>Phân bổ chi phí mềm trong thời gian xây dựng</t>
  </si>
  <si>
    <t>Thu nhập hoạt động ròng, NOI</t>
  </si>
  <si>
    <t xml:space="preserve">Khấu hao công trình xây dựng </t>
  </si>
  <si>
    <t>Giá trị tài sản cố định cuối kỳ (làm tròn)</t>
  </si>
  <si>
    <r>
      <t>triệu/m</t>
    </r>
    <r>
      <rPr>
        <vertAlign val="superscript"/>
        <sz val="10"/>
        <rFont val="Arial"/>
        <family val="2"/>
      </rPr>
      <t>2</t>
    </r>
    <r>
      <rPr>
        <sz val="10"/>
        <rFont val="Arial"/>
        <family val="2"/>
      </rPr>
      <t>/tháng</t>
    </r>
  </si>
  <si>
    <t>Phí quản lý</t>
  </si>
  <si>
    <t>Chi phí bảo trì</t>
  </si>
  <si>
    <t>Tiền thuê đất</t>
  </si>
  <si>
    <t>Tổng chi phí</t>
  </si>
  <si>
    <t>BÁO CÁO KẾT QUẢ HOẠT ĐỘNG KINH DOANH</t>
  </si>
  <si>
    <t xml:space="preserve"> - Tổng chi phí</t>
  </si>
  <si>
    <t>EBITDA</t>
  </si>
  <si>
    <t xml:space="preserve"> - Khấu hao</t>
  </si>
  <si>
    <t>EBIT</t>
  </si>
  <si>
    <t xml:space="preserve"> - Lãi vay</t>
  </si>
  <si>
    <t>EBT</t>
  </si>
  <si>
    <t>EBT tích lũy</t>
  </si>
  <si>
    <t>Thu nhập chịu thuế</t>
  </si>
  <si>
    <t xml:space="preserve"> - Thuế thu nhập doanh nghiệp</t>
  </si>
  <si>
    <t>NI</t>
  </si>
  <si>
    <t>NGÂN LƯU TIPV</t>
  </si>
  <si>
    <t>Ngân lưu hoạt động vào</t>
  </si>
  <si>
    <t>Ngân lưu hoạt động ra</t>
  </si>
  <si>
    <t>Chi phí hoạt động</t>
  </si>
  <si>
    <t>Thuế thu nhập doanh nghiệp</t>
  </si>
  <si>
    <t>Ngân lưu hoạt động ròng</t>
  </si>
  <si>
    <t>Ngân lưu tự do của dự án (TIPV)</t>
  </si>
  <si>
    <t>Ngân lưu tự do của chủ đầu tư (EPV)</t>
  </si>
  <si>
    <t>Tổng chi phí hoạt động</t>
  </si>
  <si>
    <t>D</t>
  </si>
  <si>
    <t>E</t>
  </si>
  <si>
    <t>%D</t>
  </si>
  <si>
    <t>%E</t>
  </si>
  <si>
    <t>WACCy</t>
  </si>
  <si>
    <t>WACCa</t>
  </si>
  <si>
    <t>NPV</t>
  </si>
  <si>
    <t>IRR</t>
  </si>
  <si>
    <t>TÍNH TOÁN CÁC CHỈ TIÊU ĐÁNH GIÁ DỰ ÁN (theo TIPV)</t>
  </si>
  <si>
    <t>TÍNH TOÁN CÁC CHỈ TIÊU ĐÁNH GIÁ DỰ ÁN (theo EPV)</t>
  </si>
  <si>
    <t>ADSCR</t>
  </si>
  <si>
    <t>ADSCR bình quân</t>
  </si>
  <si>
    <t>CÂU 6</t>
  </si>
  <si>
    <t>Theo quan điểm vốn chủ sở hữu (EPV), dự án có NPV dương 41.666 triệu đồng và IRR đạt 14%, cao hơn suất sinh lợi yêu cầu 12%. Điều này cho thấy dự án tạo ra giá trị gia tăng cho nhà đầu tư, do đó nên được chấp nhận. Khả năng trả nợ của dự án được đánh giá thông qua chỉ tiêu ADSCR bình quân đạt 2,06, cao hơn đáng kể mức an toàn thông thường. Điều này cho thấy dòng tiền của dự án đủ mạnh để đáp ứng nghĩa vụ trả nợ, do đó ngân hàng có thể xem xét chấp thuận tài trợ.</t>
  </si>
  <si>
    <t>CÂU 7</t>
  </si>
  <si>
    <t>Lạm phát VND</t>
  </si>
  <si>
    <t>Lạm phát USD</t>
  </si>
  <si>
    <t>Tỷ giá VND/USD 2024</t>
  </si>
  <si>
    <t>Bảng chỉ số giá và tỷ giá hối đoái</t>
  </si>
  <si>
    <t>Chỉ số giá VND</t>
  </si>
  <si>
    <t>Chỉ số giá USD</t>
  </si>
  <si>
    <t>Tỷ giá hối đoái (VND/USD)</t>
  </si>
  <si>
    <t>Giá cho thuê (không kể VAT) theo USD</t>
  </si>
  <si>
    <t>USD/m2</t>
  </si>
  <si>
    <t>Phân tích độ nhạy 2 chiều</t>
  </si>
  <si>
    <t>Ngân lưu chi phí đầu tư theo giá danh nghĩa</t>
  </si>
  <si>
    <t>Tổng chi phí đầu tư theo giá danh nghĩa</t>
  </si>
  <si>
    <t>BẢNG THÔNG SỐ</t>
  </si>
  <si>
    <t>BẢNG CHỈ SỐ GIÁ</t>
  </si>
  <si>
    <t>NGÂN LƯU CHI PHÍ ĐẦU TƯ THEO GIÁ DANH NGHĨA</t>
  </si>
  <si>
    <t>LỊCH NỢ VAY</t>
  </si>
  <si>
    <t>NGÂN LƯU CHI PHÍ ĐẦU TƯ THEO GIÁ THỰC, GIÁ 2024</t>
  </si>
  <si>
    <t>Theo như phân tích độ nhạy 2 chiều, sự biến thiên của lạm phát USD không ảnh hưởng đến NPV (TIPV) của dự án</t>
  </si>
  <si>
    <t>Trong khi đó, nếu lạm phát VND nằm trong khoảng 0-1% thì NPV dự án dương -&gt; dự án có tính khả thi; nếu vượt qua mức 1% -&gt; NPV dự án âm, dự án không khả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</si>
</sst>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2"/>
      <color theme="1"/>
      <name val="Calibri"/>
      <family val="2"/>
      <scheme val="minor"/>
    </font>
    <font>
      <b/>
      <sz val="12"/>
      <color theme="1"/>
      <name val="Calibri"/>
      <family val="2"/>
      <scheme val="minor"/>
    </font>
    <font>
      <sz val="10"/>
      <name val="Arial"/>
      <family val="2"/>
    </font>
    <font>
      <b/>
      <sz val="10"/>
      <name val="Arial"/>
      <family val="2"/>
    </font>
    <font>
      <vertAlign val="superscript"/>
      <sz val="10"/>
      <name val="Arial"/>
      <family val="2"/>
    </font>
    <font>
      <b/>
      <sz val="10"/>
      <color rgb="FFFF0000"/>
      <name val="Arial"/>
      <family val="2"/>
    </font>
    <font>
      <b/>
      <sz val="12"/>
      <color rgb="FFFF0000"/>
      <name val="Calibri"/>
      <family val="2"/>
      <scheme val="minor"/>
    </font>
    <font>
      <i/>
      <sz val="10"/>
      <name val="Arial"/>
      <family val="2"/>
    </font>
    <font>
      <sz val="11"/>
      <color rgb="FF000000"/>
      <name val="Calibri"/>
      <family val="2"/>
      <scheme val="minor"/>
    </font>
    <font>
      <b/>
      <sz val="11"/>
      <color rgb="FF000000"/>
      <name val="Calibri"/>
      <family val="2"/>
      <scheme val="minor"/>
    </font>
    <font>
      <b/>
      <sz val="12"/>
      <color theme="0"/>
      <name val="Calibri"/>
      <family val="2"/>
      <scheme val="minor"/>
    </font>
    <font>
      <b/>
      <sz val="10"/>
      <color theme="0"/>
      <name val="Arial"/>
      <family val="2"/>
    </font>
  </fonts>
  <fills count="19">
    <fill>
      <patternFill patternType="none"/>
    </fill>
    <fill>
      <patternFill patternType="gray125"/>
    </fill>
    <fill>
      <patternFill patternType="solid">
        <fgColor rgb="FFFFFF00"/>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7A019E"/>
        <bgColor indexed="64"/>
      </patternFill>
    </fill>
    <fill>
      <patternFill patternType="solid">
        <fgColor rgb="FFDFB7FF"/>
        <bgColor indexed="64"/>
      </patternFill>
    </fill>
    <fill>
      <patternFill patternType="solid">
        <fgColor rgb="FFF3EEFF"/>
        <bgColor indexed="64"/>
      </patternFill>
    </fill>
    <fill>
      <patternFill patternType="solid">
        <fgColor theme="5" tint="0.39997558519241921"/>
        <bgColor indexed="64"/>
      </patternFill>
    </fill>
  </fills>
  <borders count="9">
    <border>
      <left/>
      <right/>
      <top/>
      <bottom/>
      <diagonal/>
    </border>
    <border>
      <left/>
      <right/>
      <top/>
      <bottom style="dashDot">
        <color indexed="64"/>
      </bottom>
      <diagonal/>
    </border>
    <border>
      <left style="dashDot">
        <color indexed="64"/>
      </left>
      <right/>
      <top style="dashDot">
        <color indexed="64"/>
      </top>
      <bottom/>
      <diagonal/>
    </border>
    <border>
      <left/>
      <right/>
      <top style="dashDot">
        <color indexed="64"/>
      </top>
      <bottom/>
      <diagonal/>
    </border>
    <border>
      <left/>
      <right style="dashDot">
        <color indexed="64"/>
      </right>
      <top style="dashDot">
        <color indexed="64"/>
      </top>
      <bottom/>
      <diagonal/>
    </border>
    <border>
      <left style="dashDot">
        <color indexed="64"/>
      </left>
      <right/>
      <top/>
      <bottom/>
      <diagonal/>
    </border>
    <border>
      <left/>
      <right style="dashDot">
        <color indexed="64"/>
      </right>
      <top/>
      <bottom/>
      <diagonal/>
    </border>
    <border>
      <left style="dashDot">
        <color indexed="64"/>
      </left>
      <right/>
      <top/>
      <bottom style="dashDot">
        <color indexed="64"/>
      </bottom>
      <diagonal/>
    </border>
    <border>
      <left/>
      <right style="dashDot">
        <color indexed="64"/>
      </right>
      <top/>
      <bottom style="dashDot">
        <color indexed="64"/>
      </bottom>
      <diagonal/>
    </border>
  </borders>
  <cellStyleXfs count="1">
    <xf numFmtId="0" fontId="0" fillId="0" borderId="0"/>
  </cellStyleXfs>
  <cellXfs count="134">
    <xf numFmtId="0" fontId="0" fillId="0" borderId="0" xfId="0"/>
    <xf numFmtId="0" fontId="2" fillId="0" borderId="0" xfId="0" applyFont="1"/>
    <xf numFmtId="0" fontId="2" fillId="0" borderId="0" xfId="0" applyFont="1" applyAlignment="1">
      <alignment horizontal="left" indent="1"/>
    </xf>
    <xf numFmtId="0" fontId="3" fillId="0" borderId="0" xfId="0" applyFont="1"/>
    <xf numFmtId="164" fontId="2" fillId="0" borderId="0" xfId="0" applyNumberFormat="1" applyFont="1"/>
    <xf numFmtId="0" fontId="1" fillId="0" borderId="0" xfId="0" applyFont="1"/>
    <xf numFmtId="9" fontId="0" fillId="0" borderId="0" xfId="0" applyNumberFormat="1"/>
    <xf numFmtId="0" fontId="0" fillId="0" borderId="0" xfId="0" applyAlignment="1">
      <alignment horizontal="center" vertical="center" wrapText="1"/>
    </xf>
    <xf numFmtId="2" fontId="1" fillId="0" borderId="0" xfId="0" applyNumberFormat="1" applyFont="1"/>
    <xf numFmtId="2" fontId="0" fillId="0" borderId="0" xfId="0" applyNumberFormat="1"/>
    <xf numFmtId="0" fontId="1" fillId="2" borderId="0" xfId="0" applyFont="1" applyFill="1"/>
    <xf numFmtId="0" fontId="0" fillId="0" borderId="0" xfId="0" applyAlignment="1">
      <alignment vertical="center" wrapText="1"/>
    </xf>
    <xf numFmtId="9" fontId="0" fillId="0" borderId="0" xfId="0" applyNumberFormat="1" applyAlignment="1">
      <alignment vertical="center" wrapText="1"/>
    </xf>
    <xf numFmtId="1" fontId="0" fillId="0" borderId="0" xfId="0" applyNumberFormat="1" applyAlignment="1">
      <alignment vertical="center" wrapText="1"/>
    </xf>
    <xf numFmtId="0" fontId="2" fillId="0" borderId="0" xfId="0" applyFont="1" applyBorder="1"/>
    <xf numFmtId="164" fontId="2" fillId="0" borderId="0" xfId="0" applyNumberFormat="1" applyFont="1" applyBorder="1"/>
    <xf numFmtId="2" fontId="0" fillId="0" borderId="0" xfId="0" applyNumberFormat="1" applyAlignment="1">
      <alignment vertical="center" wrapText="1"/>
    </xf>
    <xf numFmtId="0" fontId="1" fillId="0" borderId="0" xfId="0" applyFont="1" applyFill="1"/>
    <xf numFmtId="0" fontId="0" fillId="0" borderId="0" xfId="0" applyBorder="1"/>
    <xf numFmtId="9" fontId="0" fillId="0" borderId="0" xfId="0" applyNumberFormat="1" applyBorder="1" applyAlignment="1">
      <alignment vertical="center" wrapText="1"/>
    </xf>
    <xf numFmtId="1" fontId="0" fillId="0" borderId="0" xfId="0" applyNumberFormat="1" applyBorder="1" applyAlignment="1">
      <alignment vertical="center" wrapText="1"/>
    </xf>
    <xf numFmtId="1" fontId="0" fillId="0" borderId="0" xfId="0" applyNumberFormat="1" applyBorder="1"/>
    <xf numFmtId="0" fontId="0" fillId="0" borderId="0" xfId="0" applyBorder="1" applyAlignment="1">
      <alignment horizontal="center" vertical="center" wrapText="1"/>
    </xf>
    <xf numFmtId="0" fontId="0" fillId="0" borderId="1" xfId="0" applyBorder="1"/>
    <xf numFmtId="0" fontId="0" fillId="0" borderId="2" xfId="0" applyBorder="1"/>
    <xf numFmtId="0" fontId="0" fillId="0" borderId="3" xfId="0" applyBorder="1"/>
    <xf numFmtId="9" fontId="0" fillId="0" borderId="3" xfId="0" applyNumberFormat="1" applyBorder="1" applyAlignment="1">
      <alignment vertical="center" wrapText="1"/>
    </xf>
    <xf numFmtId="0" fontId="0" fillId="0" borderId="4" xfId="0" applyBorder="1"/>
    <xf numFmtId="0" fontId="0" fillId="0" borderId="5" xfId="0" applyBorder="1"/>
    <xf numFmtId="0" fontId="0" fillId="0" borderId="6" xfId="0" applyBorder="1"/>
    <xf numFmtId="0" fontId="2" fillId="0" borderId="5" xfId="0" applyFont="1" applyBorder="1"/>
    <xf numFmtId="0" fontId="2" fillId="0" borderId="7" xfId="0" applyFont="1" applyBorder="1"/>
    <xf numFmtId="0" fontId="2" fillId="0" borderId="1" xfId="0" applyFont="1" applyBorder="1"/>
    <xf numFmtId="0" fontId="0" fillId="0" borderId="1" xfId="0" applyBorder="1" applyAlignment="1">
      <alignment horizontal="center" vertical="center" wrapText="1"/>
    </xf>
    <xf numFmtId="0" fontId="0" fillId="0" borderId="8" xfId="0" applyBorder="1"/>
    <xf numFmtId="0" fontId="5" fillId="0" borderId="2" xfId="0" applyFont="1" applyBorder="1"/>
    <xf numFmtId="0" fontId="2" fillId="0" borderId="3" xfId="0" applyFont="1" applyBorder="1"/>
    <xf numFmtId="0" fontId="2" fillId="0" borderId="5" xfId="0" applyFont="1" applyBorder="1" applyAlignment="1">
      <alignment horizontal="left" indent="1"/>
    </xf>
    <xf numFmtId="0" fontId="2" fillId="0" borderId="7" xfId="0" applyFont="1" applyBorder="1" applyAlignment="1">
      <alignment horizontal="left" indent="1"/>
    </xf>
    <xf numFmtId="0" fontId="3" fillId="0" borderId="5" xfId="0" applyFont="1" applyBorder="1"/>
    <xf numFmtId="0" fontId="2" fillId="0" borderId="5" xfId="0" applyFont="1" applyBorder="1" applyAlignment="1">
      <alignment horizontal="left" indent="2"/>
    </xf>
    <xf numFmtId="0" fontId="2" fillId="0" borderId="0" xfId="0" applyFont="1" applyBorder="1" applyAlignment="1">
      <alignment horizontal="left" indent="2"/>
    </xf>
    <xf numFmtId="9" fontId="0" fillId="0" borderId="0" xfId="0" applyNumberFormat="1" applyBorder="1"/>
    <xf numFmtId="10" fontId="0" fillId="0" borderId="0" xfId="0" applyNumberFormat="1" applyBorder="1"/>
    <xf numFmtId="0" fontId="2" fillId="0" borderId="5" xfId="0" applyFont="1" applyBorder="1" applyAlignment="1">
      <alignment horizontal="left"/>
    </xf>
    <xf numFmtId="9" fontId="0" fillId="0" borderId="6" xfId="0" applyNumberFormat="1" applyBorder="1"/>
    <xf numFmtId="0" fontId="2" fillId="0" borderId="7" xfId="0" applyFont="1" applyBorder="1" applyAlignment="1">
      <alignment horizontal="left"/>
    </xf>
    <xf numFmtId="1" fontId="0" fillId="0" borderId="1" xfId="0" applyNumberFormat="1" applyBorder="1"/>
    <xf numFmtId="164" fontId="2" fillId="0" borderId="3" xfId="0" applyNumberFormat="1" applyFont="1" applyBorder="1"/>
    <xf numFmtId="0" fontId="2" fillId="0" borderId="5" xfId="0" applyFont="1" applyBorder="1" applyAlignment="1">
      <alignment horizontal="left" indent="3"/>
    </xf>
    <xf numFmtId="0" fontId="2" fillId="0" borderId="7" xfId="0" applyFont="1" applyBorder="1" applyAlignment="1">
      <alignment horizontal="left" indent="3"/>
    </xf>
    <xf numFmtId="164" fontId="2" fillId="0" borderId="1" xfId="0" applyNumberFormat="1" applyFont="1" applyBorder="1"/>
    <xf numFmtId="9" fontId="0" fillId="0" borderId="1" xfId="0" applyNumberFormat="1" applyBorder="1"/>
    <xf numFmtId="9" fontId="0" fillId="0" borderId="8" xfId="0" applyNumberFormat="1" applyBorder="1"/>
    <xf numFmtId="0" fontId="6" fillId="0" borderId="2" xfId="0" applyFont="1" applyBorder="1"/>
    <xf numFmtId="9" fontId="0" fillId="0" borderId="5" xfId="0" applyNumberFormat="1" applyBorder="1"/>
    <xf numFmtId="9" fontId="0" fillId="0" borderId="7" xfId="0" applyNumberFormat="1" applyBorder="1"/>
    <xf numFmtId="0" fontId="11" fillId="3" borderId="0" xfId="0" applyFont="1" applyFill="1"/>
    <xf numFmtId="0" fontId="2" fillId="4" borderId="0" xfId="0" applyFont="1" applyFill="1"/>
    <xf numFmtId="0" fontId="0" fillId="5" borderId="0" xfId="0" applyFill="1" applyAlignment="1">
      <alignment vertical="center" wrapText="1"/>
    </xf>
    <xf numFmtId="2" fontId="0" fillId="5" borderId="0" xfId="0" applyNumberFormat="1" applyFill="1" applyAlignment="1">
      <alignment vertical="center" wrapText="1"/>
    </xf>
    <xf numFmtId="0" fontId="3" fillId="4" borderId="0" xfId="0" applyFont="1" applyFill="1"/>
    <xf numFmtId="0" fontId="0" fillId="4" borderId="0" xfId="0" applyFill="1"/>
    <xf numFmtId="0" fontId="2" fillId="4" borderId="0" xfId="0" applyFont="1" applyFill="1" applyAlignment="1">
      <alignment horizontal="left" indent="2"/>
    </xf>
    <xf numFmtId="0" fontId="2" fillId="5" borderId="0" xfId="0" applyFont="1" applyFill="1"/>
    <xf numFmtId="0" fontId="0" fillId="5" borderId="0" xfId="0" applyFill="1"/>
    <xf numFmtId="0" fontId="3" fillId="5" borderId="0" xfId="0" applyFont="1" applyFill="1"/>
    <xf numFmtId="2" fontId="1" fillId="5" borderId="0" xfId="0" applyNumberFormat="1" applyFont="1" applyFill="1"/>
    <xf numFmtId="2" fontId="0" fillId="5" borderId="0" xfId="0" applyNumberFormat="1" applyFill="1"/>
    <xf numFmtId="0" fontId="3" fillId="4" borderId="0" xfId="0" applyFont="1" applyFill="1" applyAlignment="1">
      <alignment horizontal="left" indent="2"/>
    </xf>
    <xf numFmtId="0" fontId="11" fillId="6" borderId="0" xfId="0" applyFont="1" applyFill="1"/>
    <xf numFmtId="0" fontId="2" fillId="7" borderId="0" xfId="0" applyFont="1" applyFill="1"/>
    <xf numFmtId="0" fontId="2" fillId="8" borderId="0" xfId="0" applyFont="1" applyFill="1"/>
    <xf numFmtId="0" fontId="3" fillId="7" borderId="0" xfId="0" applyFont="1" applyFill="1"/>
    <xf numFmtId="0" fontId="11" fillId="9" borderId="0" xfId="0" applyFont="1" applyFill="1"/>
    <xf numFmtId="0" fontId="2" fillId="10" borderId="0" xfId="0" applyFont="1" applyFill="1"/>
    <xf numFmtId="0" fontId="2" fillId="11" borderId="0" xfId="0" applyFont="1" applyFill="1"/>
    <xf numFmtId="0" fontId="11" fillId="12" borderId="0" xfId="0" applyFont="1" applyFill="1"/>
    <xf numFmtId="0" fontId="2" fillId="13" borderId="0" xfId="0" applyFont="1" applyFill="1"/>
    <xf numFmtId="0" fontId="3" fillId="13" borderId="0" xfId="0" applyFont="1" applyFill="1"/>
    <xf numFmtId="0" fontId="2" fillId="14" borderId="0" xfId="0" applyFont="1" applyFill="1"/>
    <xf numFmtId="2" fontId="0" fillId="14" borderId="0" xfId="0" applyNumberFormat="1" applyFill="1"/>
    <xf numFmtId="0" fontId="3" fillId="14" borderId="0" xfId="0" applyFont="1" applyFill="1"/>
    <xf numFmtId="0" fontId="11" fillId="15" borderId="0" xfId="0" applyFont="1" applyFill="1"/>
    <xf numFmtId="0" fontId="7" fillId="16" borderId="0" xfId="0" applyFont="1" applyFill="1"/>
    <xf numFmtId="0" fontId="2" fillId="16" borderId="0" xfId="0" applyFont="1" applyFill="1" applyAlignment="1">
      <alignment horizontal="left" indent="1"/>
    </xf>
    <xf numFmtId="0" fontId="2" fillId="16" borderId="0" xfId="0" applyFont="1" applyFill="1"/>
    <xf numFmtId="0" fontId="3" fillId="16" borderId="0" xfId="0" applyFont="1" applyFill="1"/>
    <xf numFmtId="0" fontId="2" fillId="17" borderId="0" xfId="0" applyFont="1" applyFill="1"/>
    <xf numFmtId="0" fontId="0" fillId="17" borderId="0" xfId="0" applyFill="1"/>
    <xf numFmtId="2" fontId="0" fillId="17" borderId="0" xfId="0" applyNumberFormat="1" applyFill="1"/>
    <xf numFmtId="2" fontId="1" fillId="17" borderId="0" xfId="0" applyNumberFormat="1" applyFont="1" applyFill="1"/>
    <xf numFmtId="0" fontId="3" fillId="17" borderId="0" xfId="0" applyFont="1" applyFill="1"/>
    <xf numFmtId="0" fontId="0" fillId="0" borderId="7" xfId="0"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wrapText="1"/>
    </xf>
    <xf numFmtId="0" fontId="2" fillId="0" borderId="0" xfId="0" applyFont="1" applyBorder="1" applyAlignment="1">
      <alignment horizontal="left" indent="1"/>
    </xf>
    <xf numFmtId="0" fontId="2" fillId="18" borderId="0" xfId="0" applyFont="1" applyFill="1"/>
    <xf numFmtId="0" fontId="3" fillId="18" borderId="0" xfId="0" applyFont="1" applyFill="1"/>
    <xf numFmtId="0" fontId="0" fillId="18" borderId="0" xfId="0" applyFill="1"/>
    <xf numFmtId="0" fontId="2" fillId="18" borderId="0" xfId="0" applyFont="1" applyFill="1" applyAlignment="1">
      <alignment horizontal="left" indent="2"/>
    </xf>
    <xf numFmtId="0" fontId="3" fillId="18" borderId="0" xfId="0" applyFont="1" applyFill="1" applyAlignment="1">
      <alignment horizontal="left" indent="2"/>
    </xf>
    <xf numFmtId="0" fontId="10" fillId="15" borderId="0" xfId="0" applyFont="1" applyFill="1"/>
    <xf numFmtId="0" fontId="8" fillId="16" borderId="0" xfId="0" applyFont="1" applyFill="1"/>
    <xf numFmtId="0" fontId="9" fillId="16" borderId="0" xfId="0" applyFont="1" applyFill="1"/>
    <xf numFmtId="0" fontId="1" fillId="16" borderId="0" xfId="0" applyFont="1" applyFill="1"/>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1" xfId="0" applyBorder="1" applyAlignment="1">
      <alignment horizontal="left" vertical="center" wrapText="1"/>
    </xf>
    <xf numFmtId="0" fontId="0" fillId="0" borderId="8" xfId="0" applyBorder="1" applyAlignment="1">
      <alignment horizontal="left" vertical="center" wrapText="1"/>
    </xf>
    <xf numFmtId="0" fontId="8" fillId="16" borderId="0" xfId="0" applyFont="1" applyFill="1" applyBorder="1"/>
    <xf numFmtId="0" fontId="9" fillId="16" borderId="0" xfId="0" applyFont="1" applyFill="1" applyBorder="1"/>
    <xf numFmtId="0" fontId="0" fillId="17" borderId="0" xfId="0" applyFill="1" applyBorder="1"/>
    <xf numFmtId="2" fontId="0" fillId="17" borderId="0" xfId="0" applyNumberFormat="1" applyFill="1" applyBorder="1"/>
    <xf numFmtId="2" fontId="1" fillId="17" borderId="0" xfId="0" applyNumberFormat="1" applyFont="1" applyFill="1" applyBorder="1"/>
    <xf numFmtId="9" fontId="1" fillId="17" borderId="0" xfId="0" applyNumberFormat="1" applyFont="1" applyFill="1" applyBorder="1"/>
    <xf numFmtId="2" fontId="0" fillId="0" borderId="2" xfId="0" applyNumberFormat="1" applyBorder="1"/>
    <xf numFmtId="9" fontId="0" fillId="0" borderId="3" xfId="0" applyNumberFormat="1" applyBorder="1"/>
    <xf numFmtId="9" fontId="0" fillId="0" borderId="4" xfId="0" applyNumberFormat="1" applyBorder="1"/>
    <xf numFmtId="9" fontId="1" fillId="17" borderId="0" xfId="0" applyNumberFormat="1" applyFont="1" applyFill="1"/>
    <xf numFmtId="2" fontId="0" fillId="8" borderId="0" xfId="0" applyNumberFormat="1" applyFill="1"/>
    <xf numFmtId="2" fontId="3" fillId="8" borderId="0" xfId="0" applyNumberFormat="1" applyFont="1" applyFill="1"/>
    <xf numFmtId="2" fontId="0" fillId="11" borderId="0" xfId="0" applyNumberFormat="1" applyFill="1"/>
    <xf numFmtId="2" fontId="1" fillId="14" borderId="0" xfId="0" applyNumberFormat="1" applyFont="1" applyFill="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3EEFF"/>
      <color rgb="FFDFB7FF"/>
      <color rgb="FF7A019E"/>
      <color rgb="FFD27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86DB3-F047-4348-B11F-1812459B805A}">
  <dimension ref="A1:AF223"/>
  <sheetViews>
    <sheetView workbookViewId="0">
      <pane ySplit="2" topLeftCell="A3" activePane="bottomLeft" state="frozen"/>
      <selection pane="bottomLeft" activeCell="E10" sqref="E10"/>
    </sheetView>
  </sheetViews>
  <sheetFormatPr baseColWidth="10" defaultRowHeight="16" x14ac:dyDescent="0.2"/>
  <cols>
    <col min="1" max="1" width="54.83203125" customWidth="1"/>
    <col min="2" max="2" width="19.5" customWidth="1"/>
    <col min="3" max="3" width="13.1640625" bestFit="1" customWidth="1"/>
  </cols>
  <sheetData>
    <row r="1" spans="1:32" s="5" customFormat="1" x14ac:dyDescent="0.2">
      <c r="B1" s="5" t="s">
        <v>0</v>
      </c>
      <c r="C1" s="5">
        <v>2024</v>
      </c>
      <c r="D1" s="5">
        <v>2025</v>
      </c>
      <c r="E1" s="5">
        <v>2026</v>
      </c>
      <c r="F1" s="5">
        <v>2027</v>
      </c>
      <c r="G1" s="5">
        <v>2028</v>
      </c>
      <c r="H1" s="5">
        <v>2029</v>
      </c>
      <c r="I1" s="5">
        <v>2030</v>
      </c>
      <c r="J1" s="5">
        <v>2031</v>
      </c>
      <c r="K1" s="5">
        <v>2032</v>
      </c>
      <c r="L1" s="5">
        <v>2033</v>
      </c>
      <c r="M1" s="5">
        <v>2034</v>
      </c>
      <c r="N1" s="5">
        <v>2035</v>
      </c>
      <c r="O1" s="5">
        <v>2036</v>
      </c>
      <c r="P1" s="5">
        <v>2037</v>
      </c>
      <c r="Q1" s="5">
        <v>2038</v>
      </c>
      <c r="R1" s="5">
        <v>2039</v>
      </c>
      <c r="S1" s="5">
        <v>2040</v>
      </c>
      <c r="T1" s="5">
        <v>2041</v>
      </c>
      <c r="U1" s="5">
        <v>2042</v>
      </c>
      <c r="V1" s="5">
        <v>2043</v>
      </c>
      <c r="W1" s="5">
        <v>2044</v>
      </c>
      <c r="X1" s="5">
        <v>2045</v>
      </c>
      <c r="Y1" s="5">
        <v>2046</v>
      </c>
      <c r="Z1" s="5">
        <v>2047</v>
      </c>
      <c r="AA1" s="5">
        <v>2048</v>
      </c>
      <c r="AB1" s="5">
        <v>2049</v>
      </c>
      <c r="AC1" s="5">
        <v>2050</v>
      </c>
      <c r="AD1" s="5">
        <v>2051</v>
      </c>
      <c r="AE1" s="5">
        <v>2052</v>
      </c>
      <c r="AF1" s="5">
        <v>2053</v>
      </c>
    </row>
    <row r="2" spans="1:32" s="5" customFormat="1" x14ac:dyDescent="0.2">
      <c r="B2" s="5" t="s">
        <v>1</v>
      </c>
      <c r="C2" s="5">
        <v>0</v>
      </c>
      <c r="D2" s="5">
        <v>1</v>
      </c>
      <c r="E2" s="5">
        <v>2</v>
      </c>
      <c r="F2" s="5">
        <v>3</v>
      </c>
      <c r="G2" s="5">
        <v>4</v>
      </c>
      <c r="H2" s="5">
        <v>5</v>
      </c>
      <c r="I2" s="5">
        <v>6</v>
      </c>
      <c r="J2" s="5">
        <v>7</v>
      </c>
      <c r="K2" s="5">
        <v>8</v>
      </c>
      <c r="L2" s="5">
        <v>9</v>
      </c>
      <c r="M2" s="5">
        <v>10</v>
      </c>
      <c r="N2" s="5">
        <v>11</v>
      </c>
      <c r="O2" s="5">
        <v>12</v>
      </c>
      <c r="P2" s="5">
        <v>13</v>
      </c>
      <c r="Q2" s="5">
        <v>14</v>
      </c>
      <c r="R2" s="5">
        <v>15</v>
      </c>
      <c r="S2" s="5">
        <v>16</v>
      </c>
      <c r="T2" s="5">
        <v>17</v>
      </c>
      <c r="U2" s="5">
        <v>18</v>
      </c>
      <c r="V2" s="5">
        <v>19</v>
      </c>
      <c r="W2" s="5">
        <v>20</v>
      </c>
      <c r="X2" s="5">
        <v>21</v>
      </c>
      <c r="Y2" s="5">
        <v>22</v>
      </c>
      <c r="Z2" s="5">
        <v>23</v>
      </c>
      <c r="AA2" s="5">
        <v>24</v>
      </c>
      <c r="AB2" s="5">
        <v>25</v>
      </c>
      <c r="AC2" s="5">
        <v>26</v>
      </c>
      <c r="AD2" s="5">
        <v>27</v>
      </c>
      <c r="AE2" s="5">
        <v>28</v>
      </c>
      <c r="AF2" s="5">
        <v>29</v>
      </c>
    </row>
    <row r="3" spans="1:32" x14ac:dyDescent="0.2">
      <c r="A3" s="95" t="s">
        <v>179</v>
      </c>
      <c r="B3" s="96"/>
      <c r="C3" s="96"/>
      <c r="D3" s="97"/>
    </row>
    <row r="4" spans="1:32" x14ac:dyDescent="0.2">
      <c r="A4" s="30" t="s">
        <v>2</v>
      </c>
      <c r="B4" s="14" t="s">
        <v>45</v>
      </c>
      <c r="C4" s="21">
        <v>32000</v>
      </c>
      <c r="D4" s="98" t="s">
        <v>82</v>
      </c>
    </row>
    <row r="5" spans="1:32" x14ac:dyDescent="0.2">
      <c r="A5" s="31" t="s">
        <v>81</v>
      </c>
      <c r="B5" s="32" t="s">
        <v>80</v>
      </c>
      <c r="C5" s="23">
        <f>125000/1000000</f>
        <v>0.125</v>
      </c>
      <c r="D5" s="99"/>
    </row>
    <row r="6" spans="1:32" x14ac:dyDescent="0.2">
      <c r="A6" s="14"/>
      <c r="B6" s="14"/>
      <c r="C6" s="18"/>
      <c r="D6" s="100"/>
    </row>
    <row r="7" spans="1:32" x14ac:dyDescent="0.2">
      <c r="A7" s="35" t="s">
        <v>51</v>
      </c>
      <c r="B7" s="36"/>
      <c r="C7" s="27"/>
    </row>
    <row r="8" spans="1:32" x14ac:dyDescent="0.2">
      <c r="A8" s="30" t="s">
        <v>3</v>
      </c>
      <c r="B8" s="14" t="s">
        <v>45</v>
      </c>
      <c r="C8" s="29">
        <v>64</v>
      </c>
    </row>
    <row r="9" spans="1:32" x14ac:dyDescent="0.2">
      <c r="A9" s="30" t="s">
        <v>4</v>
      </c>
      <c r="B9" s="14" t="s">
        <v>45</v>
      </c>
      <c r="C9" s="29">
        <v>120</v>
      </c>
    </row>
    <row r="10" spans="1:32" x14ac:dyDescent="0.2">
      <c r="A10" s="30" t="s">
        <v>5</v>
      </c>
      <c r="B10" s="14" t="s">
        <v>45</v>
      </c>
      <c r="C10" s="29">
        <v>184</v>
      </c>
    </row>
    <row r="11" spans="1:32" x14ac:dyDescent="0.2">
      <c r="A11" s="37" t="s">
        <v>6</v>
      </c>
      <c r="B11" s="14" t="s">
        <v>46</v>
      </c>
      <c r="C11" s="29">
        <v>60</v>
      </c>
    </row>
    <row r="12" spans="1:32" x14ac:dyDescent="0.2">
      <c r="A12" s="37" t="s">
        <v>7</v>
      </c>
      <c r="B12" s="14" t="s">
        <v>46</v>
      </c>
      <c r="C12" s="29">
        <v>93</v>
      </c>
    </row>
    <row r="13" spans="1:32" x14ac:dyDescent="0.2">
      <c r="A13" s="38" t="s">
        <v>8</v>
      </c>
      <c r="B13" s="32" t="s">
        <v>46</v>
      </c>
      <c r="C13" s="34">
        <v>22</v>
      </c>
    </row>
    <row r="14" spans="1:32" x14ac:dyDescent="0.2">
      <c r="A14" s="101"/>
      <c r="B14" s="14"/>
      <c r="C14" s="18"/>
    </row>
    <row r="15" spans="1:32" x14ac:dyDescent="0.2">
      <c r="A15" s="35" t="s">
        <v>52</v>
      </c>
      <c r="B15" s="25"/>
      <c r="C15" s="25"/>
      <c r="D15" s="25"/>
      <c r="E15" s="27"/>
    </row>
    <row r="16" spans="1:32" x14ac:dyDescent="0.2">
      <c r="A16" s="30" t="s">
        <v>53</v>
      </c>
      <c r="B16" s="14" t="s">
        <v>49</v>
      </c>
      <c r="C16" s="18">
        <f>550.773*1000</f>
        <v>550773</v>
      </c>
      <c r="D16" s="18"/>
      <c r="E16" s="29"/>
    </row>
    <row r="17" spans="1:5" x14ac:dyDescent="0.2">
      <c r="A17" s="30" t="s">
        <v>55</v>
      </c>
      <c r="B17" s="14" t="s">
        <v>48</v>
      </c>
      <c r="C17" s="18">
        <v>14.4</v>
      </c>
      <c r="D17" s="18"/>
      <c r="E17" s="29"/>
    </row>
    <row r="18" spans="1:5" x14ac:dyDescent="0.2">
      <c r="A18" s="30" t="s">
        <v>11</v>
      </c>
      <c r="B18" s="14" t="s">
        <v>49</v>
      </c>
      <c r="C18" s="18">
        <v>180</v>
      </c>
      <c r="D18" s="18"/>
      <c r="E18" s="29"/>
    </row>
    <row r="19" spans="1:5" x14ac:dyDescent="0.2">
      <c r="A19" s="30" t="s">
        <v>12</v>
      </c>
      <c r="B19" s="14" t="s">
        <v>49</v>
      </c>
      <c r="C19" s="18">
        <v>216</v>
      </c>
      <c r="D19" s="18"/>
      <c r="E19" s="29"/>
    </row>
    <row r="20" spans="1:5" x14ac:dyDescent="0.2">
      <c r="A20" s="30" t="s">
        <v>13</v>
      </c>
      <c r="B20" s="14" t="s">
        <v>49</v>
      </c>
      <c r="C20" s="18">
        <v>240</v>
      </c>
      <c r="D20" s="18"/>
      <c r="E20" s="29"/>
    </row>
    <row r="21" spans="1:5" x14ac:dyDescent="0.2">
      <c r="A21" s="30" t="s">
        <v>14</v>
      </c>
      <c r="B21" s="14" t="s">
        <v>48</v>
      </c>
      <c r="C21" s="18">
        <f>360000/1000000</f>
        <v>0.36</v>
      </c>
      <c r="D21" s="18"/>
      <c r="E21" s="29"/>
    </row>
    <row r="22" spans="1:5" x14ac:dyDescent="0.2">
      <c r="A22" s="30" t="s">
        <v>9</v>
      </c>
      <c r="B22" s="14" t="s">
        <v>47</v>
      </c>
      <c r="C22" s="18">
        <v>1.2</v>
      </c>
      <c r="D22" s="18"/>
      <c r="E22" s="29"/>
    </row>
    <row r="23" spans="1:5" x14ac:dyDescent="0.2">
      <c r="A23" s="30" t="s">
        <v>10</v>
      </c>
      <c r="B23" s="14" t="s">
        <v>45</v>
      </c>
      <c r="C23" s="18">
        <v>330</v>
      </c>
      <c r="D23" s="18"/>
      <c r="E23" s="29"/>
    </row>
    <row r="24" spans="1:5" x14ac:dyDescent="0.2">
      <c r="A24" s="30" t="s">
        <v>15</v>
      </c>
      <c r="B24" s="14" t="s">
        <v>54</v>
      </c>
      <c r="C24" s="18">
        <v>5</v>
      </c>
      <c r="D24" s="18"/>
      <c r="E24" s="29"/>
    </row>
    <row r="25" spans="1:5" x14ac:dyDescent="0.2">
      <c r="A25" s="39" t="s">
        <v>16</v>
      </c>
      <c r="B25" s="14" t="s">
        <v>47</v>
      </c>
      <c r="C25" s="18"/>
      <c r="D25" s="18"/>
      <c r="E25" s="29"/>
    </row>
    <row r="26" spans="1:5" x14ac:dyDescent="0.2">
      <c r="A26" s="40" t="s">
        <v>17</v>
      </c>
      <c r="B26" s="41"/>
      <c r="C26" s="42">
        <v>0.03</v>
      </c>
      <c r="D26" s="18"/>
      <c r="E26" s="29"/>
    </row>
    <row r="27" spans="1:5" x14ac:dyDescent="0.2">
      <c r="A27" s="40" t="s">
        <v>18</v>
      </c>
      <c r="B27" s="41"/>
      <c r="C27" s="42">
        <v>0.03</v>
      </c>
      <c r="D27" s="18"/>
      <c r="E27" s="29"/>
    </row>
    <row r="28" spans="1:5" x14ac:dyDescent="0.2">
      <c r="A28" s="40" t="s">
        <v>19</v>
      </c>
      <c r="B28" s="41"/>
      <c r="C28" s="43">
        <v>1.4999999999999999E-2</v>
      </c>
      <c r="D28" s="18"/>
      <c r="E28" s="29"/>
    </row>
    <row r="29" spans="1:5" x14ac:dyDescent="0.2">
      <c r="A29" s="40" t="s">
        <v>20</v>
      </c>
      <c r="B29" s="41"/>
      <c r="C29" s="42">
        <v>0.02</v>
      </c>
      <c r="D29" s="18"/>
      <c r="E29" s="29"/>
    </row>
    <row r="30" spans="1:5" x14ac:dyDescent="0.2">
      <c r="A30" s="40" t="s">
        <v>21</v>
      </c>
      <c r="B30" s="41"/>
      <c r="C30" s="43">
        <v>3.5999999999999997E-2</v>
      </c>
      <c r="D30" s="18"/>
      <c r="E30" s="29"/>
    </row>
    <row r="31" spans="1:5" x14ac:dyDescent="0.2">
      <c r="A31" s="40" t="s">
        <v>22</v>
      </c>
      <c r="B31" s="41"/>
      <c r="C31" s="43">
        <v>4.0000000000000001E-3</v>
      </c>
      <c r="D31" s="18"/>
      <c r="E31" s="29"/>
    </row>
    <row r="32" spans="1:5" x14ac:dyDescent="0.2">
      <c r="A32" s="40" t="s">
        <v>23</v>
      </c>
      <c r="B32" s="41"/>
      <c r="C32" s="43">
        <v>0.05</v>
      </c>
      <c r="D32" s="18"/>
      <c r="E32" s="29"/>
    </row>
    <row r="33" spans="1:5" x14ac:dyDescent="0.2">
      <c r="A33" s="44" t="s">
        <v>24</v>
      </c>
      <c r="B33" s="14" t="s">
        <v>47</v>
      </c>
      <c r="C33" s="42">
        <v>0.1</v>
      </c>
      <c r="D33" s="18"/>
      <c r="E33" s="29"/>
    </row>
    <row r="34" spans="1:5" x14ac:dyDescent="0.2">
      <c r="A34" s="44" t="s">
        <v>56</v>
      </c>
      <c r="B34" s="14" t="s">
        <v>49</v>
      </c>
      <c r="C34" s="18">
        <f>11.705*1000</f>
        <v>11705</v>
      </c>
      <c r="D34" s="18"/>
      <c r="E34" s="29"/>
    </row>
    <row r="35" spans="1:5" x14ac:dyDescent="0.2">
      <c r="A35" s="30"/>
      <c r="B35" s="14"/>
      <c r="C35" s="18"/>
      <c r="D35" s="18"/>
      <c r="E35" s="29"/>
    </row>
    <row r="36" spans="1:5" x14ac:dyDescent="0.2">
      <c r="A36" s="39" t="s">
        <v>25</v>
      </c>
      <c r="B36" s="14"/>
      <c r="C36" s="18"/>
      <c r="D36" s="18"/>
      <c r="E36" s="29"/>
    </row>
    <row r="37" spans="1:5" x14ac:dyDescent="0.2">
      <c r="A37" s="30" t="s">
        <v>57</v>
      </c>
      <c r="B37" s="14"/>
      <c r="C37" s="42">
        <v>0.3</v>
      </c>
      <c r="D37" s="42">
        <v>0.55000000000000004</v>
      </c>
      <c r="E37" s="45">
        <v>0.15</v>
      </c>
    </row>
    <row r="38" spans="1:5" x14ac:dyDescent="0.2">
      <c r="A38" s="30" t="s">
        <v>26</v>
      </c>
      <c r="B38" s="14"/>
      <c r="C38" s="42">
        <v>0</v>
      </c>
      <c r="D38" s="42">
        <v>0</v>
      </c>
      <c r="E38" s="45">
        <v>1</v>
      </c>
    </row>
    <row r="39" spans="1:5" x14ac:dyDescent="0.2">
      <c r="A39" s="30" t="s">
        <v>95</v>
      </c>
      <c r="B39" s="14"/>
      <c r="C39" s="42">
        <v>0</v>
      </c>
      <c r="D39" s="42">
        <v>0</v>
      </c>
      <c r="E39" s="45">
        <v>1</v>
      </c>
    </row>
    <row r="40" spans="1:5" x14ac:dyDescent="0.2">
      <c r="A40" s="30" t="s">
        <v>27</v>
      </c>
      <c r="B40" s="14"/>
      <c r="C40" s="18"/>
      <c r="D40" s="18"/>
      <c r="E40" s="29"/>
    </row>
    <row r="41" spans="1:5" x14ac:dyDescent="0.2">
      <c r="A41" s="40" t="s">
        <v>17</v>
      </c>
      <c r="B41" s="14"/>
      <c r="C41" s="42">
        <v>1</v>
      </c>
      <c r="D41" s="42">
        <v>0</v>
      </c>
      <c r="E41" s="45">
        <v>0</v>
      </c>
    </row>
    <row r="42" spans="1:5" x14ac:dyDescent="0.2">
      <c r="A42" s="40" t="s">
        <v>18</v>
      </c>
      <c r="B42" s="14"/>
      <c r="C42" s="42">
        <v>1</v>
      </c>
      <c r="D42" s="42">
        <v>0</v>
      </c>
      <c r="E42" s="45">
        <v>0</v>
      </c>
    </row>
    <row r="43" spans="1:5" x14ac:dyDescent="0.2">
      <c r="A43" s="40" t="s">
        <v>19</v>
      </c>
      <c r="B43" s="14"/>
      <c r="C43" s="42">
        <v>1</v>
      </c>
      <c r="D43" s="42">
        <v>0</v>
      </c>
      <c r="E43" s="45">
        <v>0</v>
      </c>
    </row>
    <row r="44" spans="1:5" x14ac:dyDescent="0.2">
      <c r="A44" s="40" t="s">
        <v>58</v>
      </c>
      <c r="B44" s="14"/>
      <c r="C44" s="42">
        <v>0.5</v>
      </c>
      <c r="D44" s="42">
        <v>0</v>
      </c>
      <c r="E44" s="45">
        <v>0.5</v>
      </c>
    </row>
    <row r="45" spans="1:5" x14ac:dyDescent="0.2">
      <c r="A45" s="40" t="s">
        <v>21</v>
      </c>
      <c r="B45" s="14"/>
      <c r="C45" s="42">
        <v>0.5</v>
      </c>
      <c r="D45" s="42">
        <v>0.3</v>
      </c>
      <c r="E45" s="45">
        <v>0.2</v>
      </c>
    </row>
    <row r="46" spans="1:5" x14ac:dyDescent="0.2">
      <c r="A46" s="40" t="s">
        <v>22</v>
      </c>
      <c r="B46" s="14"/>
      <c r="C46" s="42">
        <v>0.35</v>
      </c>
      <c r="D46" s="42">
        <v>0.3</v>
      </c>
      <c r="E46" s="45">
        <v>0.35</v>
      </c>
    </row>
    <row r="47" spans="1:5" x14ac:dyDescent="0.2">
      <c r="A47" s="40" t="s">
        <v>23</v>
      </c>
      <c r="B47" s="14"/>
      <c r="C47" s="42">
        <v>0.3</v>
      </c>
      <c r="D47" s="42">
        <v>0.35</v>
      </c>
      <c r="E47" s="45">
        <v>0.35</v>
      </c>
    </row>
    <row r="48" spans="1:5" x14ac:dyDescent="0.2">
      <c r="A48" s="44" t="s">
        <v>28</v>
      </c>
      <c r="B48" s="14" t="s">
        <v>50</v>
      </c>
      <c r="C48" s="42">
        <v>0.03</v>
      </c>
      <c r="D48" s="18"/>
      <c r="E48" s="29"/>
    </row>
    <row r="49" spans="1:5" x14ac:dyDescent="0.2">
      <c r="A49" s="30"/>
      <c r="B49" s="15"/>
      <c r="C49" s="18"/>
      <c r="D49" s="18"/>
      <c r="E49" s="29"/>
    </row>
    <row r="50" spans="1:5" x14ac:dyDescent="0.2">
      <c r="A50" s="30" t="s">
        <v>60</v>
      </c>
      <c r="B50" s="15" t="s">
        <v>59</v>
      </c>
      <c r="C50" s="18">
        <v>126318</v>
      </c>
      <c r="D50" s="18">
        <v>63393</v>
      </c>
      <c r="E50" s="29"/>
    </row>
    <row r="51" spans="1:5" x14ac:dyDescent="0.2">
      <c r="A51" s="30" t="s">
        <v>33</v>
      </c>
      <c r="B51" s="15" t="s">
        <v>47</v>
      </c>
      <c r="C51" s="42">
        <v>0.08</v>
      </c>
      <c r="D51" s="18"/>
      <c r="E51" s="29"/>
    </row>
    <row r="52" spans="1:5" x14ac:dyDescent="0.2">
      <c r="A52" s="30" t="s">
        <v>34</v>
      </c>
      <c r="B52" s="15" t="s">
        <v>47</v>
      </c>
      <c r="C52" s="43">
        <v>3.5000000000000003E-2</v>
      </c>
      <c r="D52" s="18"/>
      <c r="E52" s="29"/>
    </row>
    <row r="53" spans="1:5" x14ac:dyDescent="0.2">
      <c r="A53" s="30" t="s">
        <v>36</v>
      </c>
      <c r="B53" s="15" t="s">
        <v>47</v>
      </c>
      <c r="C53" s="43">
        <v>5.5E-2</v>
      </c>
      <c r="D53" s="18"/>
      <c r="E53" s="29"/>
    </row>
    <row r="54" spans="1:5" x14ac:dyDescent="0.2">
      <c r="A54" s="30" t="s">
        <v>37</v>
      </c>
      <c r="B54" s="15" t="s">
        <v>50</v>
      </c>
      <c r="C54" s="18">
        <v>4</v>
      </c>
      <c r="D54" s="18"/>
      <c r="E54" s="29"/>
    </row>
    <row r="55" spans="1:5" x14ac:dyDescent="0.2">
      <c r="A55" s="30" t="s">
        <v>38</v>
      </c>
      <c r="B55" s="15" t="s">
        <v>50</v>
      </c>
      <c r="C55" s="18">
        <v>10</v>
      </c>
      <c r="D55" s="18"/>
      <c r="E55" s="29"/>
    </row>
    <row r="56" spans="1:5" x14ac:dyDescent="0.2">
      <c r="A56" s="30" t="s">
        <v>62</v>
      </c>
      <c r="B56" s="15" t="s">
        <v>59</v>
      </c>
      <c r="C56" s="18">
        <v>311062</v>
      </c>
      <c r="D56" s="18"/>
      <c r="E56" s="29"/>
    </row>
    <row r="57" spans="1:5" x14ac:dyDescent="0.2">
      <c r="A57" s="30" t="s">
        <v>63</v>
      </c>
      <c r="B57" s="18"/>
      <c r="C57" s="18"/>
      <c r="D57" s="18"/>
      <c r="E57" s="29"/>
    </row>
    <row r="58" spans="1:5" x14ac:dyDescent="0.2">
      <c r="A58" s="49" t="s">
        <v>64</v>
      </c>
      <c r="B58" s="15" t="s">
        <v>66</v>
      </c>
      <c r="C58" s="42">
        <v>0.8</v>
      </c>
      <c r="D58" s="42">
        <v>0.3</v>
      </c>
      <c r="E58" s="45">
        <v>0</v>
      </c>
    </row>
    <row r="59" spans="1:5" x14ac:dyDescent="0.2">
      <c r="A59" s="50" t="s">
        <v>65</v>
      </c>
      <c r="B59" s="51" t="s">
        <v>66</v>
      </c>
      <c r="C59" s="52">
        <v>0.2</v>
      </c>
      <c r="D59" s="52">
        <v>0.7</v>
      </c>
      <c r="E59" s="53">
        <v>1</v>
      </c>
    </row>
    <row r="61" spans="1:5" x14ac:dyDescent="0.2">
      <c r="A61" s="54" t="s">
        <v>67</v>
      </c>
      <c r="B61" s="25"/>
      <c r="C61" s="25"/>
      <c r="D61" s="25"/>
      <c r="E61" s="27"/>
    </row>
    <row r="62" spans="1:5" x14ac:dyDescent="0.2">
      <c r="A62" s="30" t="s">
        <v>29</v>
      </c>
      <c r="B62" s="15" t="s">
        <v>50</v>
      </c>
      <c r="C62" s="18">
        <v>25</v>
      </c>
      <c r="D62" s="18"/>
      <c r="E62" s="29"/>
    </row>
    <row r="63" spans="1:5" x14ac:dyDescent="0.2">
      <c r="A63" s="30" t="s">
        <v>30</v>
      </c>
      <c r="B63" s="15" t="s">
        <v>50</v>
      </c>
      <c r="C63" s="18">
        <v>5</v>
      </c>
      <c r="D63" s="18"/>
      <c r="E63" s="29"/>
    </row>
    <row r="64" spans="1:5" x14ac:dyDescent="0.2">
      <c r="A64" s="30" t="s">
        <v>31</v>
      </c>
      <c r="B64" s="15" t="s">
        <v>50</v>
      </c>
      <c r="C64" s="18">
        <v>25</v>
      </c>
      <c r="D64" s="18"/>
      <c r="E64" s="29"/>
    </row>
    <row r="65" spans="1:32" x14ac:dyDescent="0.2">
      <c r="A65" s="31" t="s">
        <v>32</v>
      </c>
      <c r="B65" s="51" t="s">
        <v>50</v>
      </c>
      <c r="C65" s="23">
        <v>3</v>
      </c>
      <c r="D65" s="23" t="s">
        <v>68</v>
      </c>
      <c r="E65" s="34"/>
    </row>
    <row r="67" spans="1:32" x14ac:dyDescent="0.2">
      <c r="A67" s="35" t="s">
        <v>69</v>
      </c>
      <c r="B67" s="25"/>
      <c r="C67" s="25"/>
      <c r="D67" s="25"/>
      <c r="E67" s="25"/>
      <c r="F67" s="25"/>
      <c r="G67" s="25"/>
      <c r="H67" s="25"/>
      <c r="I67" s="25"/>
      <c r="J67" s="25"/>
      <c r="K67" s="25"/>
      <c r="L67" s="25"/>
      <c r="M67" s="25"/>
      <c r="N67" s="25"/>
      <c r="O67" s="25"/>
      <c r="P67" s="25"/>
      <c r="Q67" s="27"/>
      <c r="R67" s="24"/>
      <c r="S67" s="25"/>
      <c r="T67" s="25"/>
      <c r="U67" s="25"/>
      <c r="V67" s="25"/>
      <c r="W67" s="25"/>
      <c r="X67" s="25"/>
      <c r="Y67" s="25"/>
      <c r="Z67" s="25"/>
      <c r="AA67" s="25"/>
      <c r="AB67" s="25"/>
      <c r="AC67" s="25"/>
      <c r="AD67" s="25"/>
      <c r="AE67" s="25"/>
      <c r="AF67" s="27"/>
    </row>
    <row r="68" spans="1:32" x14ac:dyDescent="0.2">
      <c r="A68" s="30" t="s">
        <v>61</v>
      </c>
      <c r="B68" s="14" t="s">
        <v>127</v>
      </c>
      <c r="C68" s="18">
        <f>720000/1000000</f>
        <v>0.72</v>
      </c>
      <c r="D68" s="18"/>
      <c r="E68" s="18"/>
      <c r="F68" s="18"/>
      <c r="G68" s="18"/>
      <c r="H68" s="18"/>
      <c r="I68" s="18"/>
      <c r="J68" s="18"/>
      <c r="K68" s="18"/>
      <c r="L68" s="18"/>
      <c r="M68" s="18"/>
      <c r="N68" s="18"/>
      <c r="O68" s="18"/>
      <c r="P68" s="18"/>
      <c r="Q68" s="29"/>
      <c r="R68" s="28"/>
      <c r="S68" s="18"/>
      <c r="T68" s="18"/>
      <c r="U68" s="18"/>
      <c r="V68" s="18"/>
      <c r="W68" s="18"/>
      <c r="X68" s="18"/>
      <c r="Y68" s="18"/>
      <c r="Z68" s="18"/>
      <c r="AA68" s="18"/>
      <c r="AB68" s="18"/>
      <c r="AC68" s="18"/>
      <c r="AD68" s="18"/>
      <c r="AE68" s="18"/>
      <c r="AF68" s="29"/>
    </row>
    <row r="69" spans="1:32" x14ac:dyDescent="0.2">
      <c r="A69" s="30" t="s">
        <v>39</v>
      </c>
      <c r="B69" s="15" t="s">
        <v>47</v>
      </c>
      <c r="C69" s="42">
        <v>0.06</v>
      </c>
      <c r="D69" s="42">
        <v>0.06</v>
      </c>
      <c r="E69" s="42">
        <v>0.06</v>
      </c>
      <c r="F69" s="42">
        <v>0.06</v>
      </c>
      <c r="G69" s="42">
        <v>0.06</v>
      </c>
      <c r="H69" s="42">
        <v>0.06</v>
      </c>
      <c r="I69" s="42">
        <v>0.06</v>
      </c>
      <c r="J69" s="42">
        <v>0.06</v>
      </c>
      <c r="K69" s="42">
        <v>0.05</v>
      </c>
      <c r="L69" s="42">
        <v>0.05</v>
      </c>
      <c r="M69" s="42">
        <v>0.05</v>
      </c>
      <c r="N69" s="42">
        <v>0.05</v>
      </c>
      <c r="O69" s="42">
        <v>0.05</v>
      </c>
      <c r="P69" s="42">
        <v>0.04</v>
      </c>
      <c r="Q69" s="45">
        <v>0.04</v>
      </c>
      <c r="R69" s="55">
        <v>0.04</v>
      </c>
      <c r="S69" s="42">
        <v>0.04</v>
      </c>
      <c r="T69" s="42">
        <v>0.04</v>
      </c>
      <c r="U69" s="42">
        <v>0.03</v>
      </c>
      <c r="V69" s="42">
        <v>0.03</v>
      </c>
      <c r="W69" s="42">
        <v>0.03</v>
      </c>
      <c r="X69" s="42">
        <v>0.03</v>
      </c>
      <c r="Y69" s="42">
        <v>0.03</v>
      </c>
      <c r="Z69" s="42">
        <v>0.03</v>
      </c>
      <c r="AA69" s="42">
        <v>0.03</v>
      </c>
      <c r="AB69" s="42">
        <v>0.03</v>
      </c>
      <c r="AC69" s="42">
        <v>0.03</v>
      </c>
      <c r="AD69" s="42">
        <v>0.03</v>
      </c>
      <c r="AE69" s="18"/>
      <c r="AF69" s="29"/>
    </row>
    <row r="70" spans="1:32" x14ac:dyDescent="0.2">
      <c r="A70" s="31" t="s">
        <v>40</v>
      </c>
      <c r="B70" s="51" t="s">
        <v>47</v>
      </c>
      <c r="C70" s="23"/>
      <c r="D70" s="23"/>
      <c r="E70" s="23"/>
      <c r="F70" s="52">
        <v>0.5</v>
      </c>
      <c r="G70" s="52">
        <f>F70-10%</f>
        <v>0.4</v>
      </c>
      <c r="H70" s="52">
        <f t="shared" ref="H70:I70" si="0">G70-10%</f>
        <v>0.30000000000000004</v>
      </c>
      <c r="I70" s="52">
        <f t="shared" si="0"/>
        <v>0.20000000000000004</v>
      </c>
      <c r="J70" s="52">
        <v>0.2</v>
      </c>
      <c r="K70" s="52">
        <v>0.2</v>
      </c>
      <c r="L70" s="52">
        <v>0.2</v>
      </c>
      <c r="M70" s="52">
        <v>0.2</v>
      </c>
      <c r="N70" s="52">
        <v>0.2</v>
      </c>
      <c r="O70" s="52">
        <v>0.2</v>
      </c>
      <c r="P70" s="52">
        <v>0.2</v>
      </c>
      <c r="Q70" s="53">
        <v>0.2</v>
      </c>
      <c r="R70" s="56">
        <v>0.2</v>
      </c>
      <c r="S70" s="52">
        <v>0.2</v>
      </c>
      <c r="T70" s="52">
        <v>0.2</v>
      </c>
      <c r="U70" s="52">
        <v>0.2</v>
      </c>
      <c r="V70" s="52">
        <v>0.2</v>
      </c>
      <c r="W70" s="52">
        <v>0.2</v>
      </c>
      <c r="X70" s="52">
        <v>0.2</v>
      </c>
      <c r="Y70" s="52">
        <v>0.2</v>
      </c>
      <c r="Z70" s="52">
        <v>0.2</v>
      </c>
      <c r="AA70" s="52">
        <v>0.2</v>
      </c>
      <c r="AB70" s="52">
        <v>0.2</v>
      </c>
      <c r="AC70" s="52">
        <v>0.2</v>
      </c>
      <c r="AD70" s="52">
        <v>0.2</v>
      </c>
      <c r="AE70" s="52">
        <v>0.2</v>
      </c>
      <c r="AF70" s="53">
        <v>0.2</v>
      </c>
    </row>
    <row r="72" spans="1:32" x14ac:dyDescent="0.2">
      <c r="A72" s="35" t="s">
        <v>70</v>
      </c>
      <c r="B72" s="25"/>
      <c r="C72" s="27"/>
    </row>
    <row r="73" spans="1:32" x14ac:dyDescent="0.2">
      <c r="A73" s="30" t="s">
        <v>73</v>
      </c>
      <c r="B73" s="18" t="s">
        <v>47</v>
      </c>
      <c r="C73" s="45">
        <v>0.15</v>
      </c>
    </row>
    <row r="74" spans="1:32" x14ac:dyDescent="0.2">
      <c r="A74" s="30" t="s">
        <v>72</v>
      </c>
      <c r="B74" s="18" t="s">
        <v>47</v>
      </c>
      <c r="C74" s="45">
        <v>0.05</v>
      </c>
    </row>
    <row r="75" spans="1:32" x14ac:dyDescent="0.2">
      <c r="A75" s="30" t="s">
        <v>74</v>
      </c>
      <c r="B75" s="18" t="s">
        <v>47</v>
      </c>
      <c r="C75" s="45">
        <v>0.5</v>
      </c>
    </row>
    <row r="76" spans="1:32" x14ac:dyDescent="0.2">
      <c r="A76" s="30" t="s">
        <v>75</v>
      </c>
      <c r="B76" s="18" t="s">
        <v>47</v>
      </c>
      <c r="C76" s="45">
        <v>0.05</v>
      </c>
    </row>
    <row r="77" spans="1:32" x14ac:dyDescent="0.2">
      <c r="A77" s="30" t="s">
        <v>77</v>
      </c>
      <c r="B77" s="18" t="s">
        <v>76</v>
      </c>
      <c r="C77" s="29">
        <f>(18000*12)/1000000</f>
        <v>0.216</v>
      </c>
    </row>
    <row r="78" spans="1:32" x14ac:dyDescent="0.2">
      <c r="A78" s="31" t="s">
        <v>78</v>
      </c>
      <c r="B78" s="23" t="s">
        <v>76</v>
      </c>
      <c r="C78" s="34">
        <f>(4500*12)/1000000</f>
        <v>5.3999999999999999E-2</v>
      </c>
    </row>
    <row r="80" spans="1:32" x14ac:dyDescent="0.2">
      <c r="A80" s="35" t="s">
        <v>79</v>
      </c>
      <c r="B80" s="25"/>
      <c r="C80" s="27"/>
    </row>
    <row r="81" spans="1:32" x14ac:dyDescent="0.2">
      <c r="A81" s="30" t="s">
        <v>41</v>
      </c>
      <c r="B81" s="15" t="s">
        <v>47</v>
      </c>
      <c r="C81" s="45">
        <v>0.1</v>
      </c>
    </row>
    <row r="82" spans="1:32" x14ac:dyDescent="0.2">
      <c r="A82" s="30" t="s">
        <v>42</v>
      </c>
      <c r="B82" s="15" t="s">
        <v>47</v>
      </c>
      <c r="C82" s="45">
        <v>0.25</v>
      </c>
    </row>
    <row r="83" spans="1:32" x14ac:dyDescent="0.2">
      <c r="A83" s="30" t="s">
        <v>43</v>
      </c>
      <c r="B83" s="15" t="s">
        <v>50</v>
      </c>
      <c r="C83" s="29"/>
    </row>
    <row r="84" spans="1:32" x14ac:dyDescent="0.2">
      <c r="A84" s="31" t="s">
        <v>44</v>
      </c>
      <c r="B84" s="51" t="s">
        <v>47</v>
      </c>
      <c r="C84" s="53">
        <v>0.12</v>
      </c>
    </row>
    <row r="86" spans="1:32" x14ac:dyDescent="0.2">
      <c r="A86" s="57" t="s">
        <v>83</v>
      </c>
      <c r="B86" s="3"/>
    </row>
    <row r="87" spans="1:32" x14ac:dyDescent="0.2">
      <c r="A87" s="102" t="s">
        <v>84</v>
      </c>
      <c r="B87" s="64" t="s">
        <v>45</v>
      </c>
      <c r="C87" s="68">
        <f>C8*C11+C9*C12+C10*C13</f>
        <v>19048</v>
      </c>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row>
    <row r="88" spans="1:32" x14ac:dyDescent="0.2">
      <c r="A88" s="102" t="s">
        <v>85</v>
      </c>
      <c r="B88" s="64" t="s">
        <v>45</v>
      </c>
      <c r="C88" s="68">
        <f>C22*C87</f>
        <v>22857.599999999999</v>
      </c>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row>
    <row r="89" spans="1:32" x14ac:dyDescent="0.2">
      <c r="A89" s="102" t="s">
        <v>86</v>
      </c>
      <c r="B89" s="64" t="s">
        <v>49</v>
      </c>
      <c r="C89" s="68">
        <f>C88*C17</f>
        <v>329149.44</v>
      </c>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row>
    <row r="90" spans="1:32" x14ac:dyDescent="0.2">
      <c r="A90" s="102" t="s">
        <v>87</v>
      </c>
      <c r="B90" s="64" t="s">
        <v>49</v>
      </c>
      <c r="C90" s="68">
        <f>C18*C11+C19*C12+C20*C13</f>
        <v>36168</v>
      </c>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row>
    <row r="91" spans="1:32" x14ac:dyDescent="0.2">
      <c r="A91" s="102" t="s">
        <v>88</v>
      </c>
      <c r="B91" s="64" t="s">
        <v>49</v>
      </c>
      <c r="C91" s="68">
        <f>C21*C88</f>
        <v>8228.735999999999</v>
      </c>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row>
    <row r="92" spans="1:32" x14ac:dyDescent="0.2">
      <c r="A92" s="102" t="s">
        <v>15</v>
      </c>
      <c r="B92" s="64" t="s">
        <v>49</v>
      </c>
      <c r="C92" s="68">
        <f>C23*C24</f>
        <v>1650</v>
      </c>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row>
    <row r="93" spans="1:32" x14ac:dyDescent="0.2">
      <c r="A93" s="103" t="s">
        <v>91</v>
      </c>
      <c r="B93" s="66" t="s">
        <v>49</v>
      </c>
      <c r="C93" s="68">
        <f>SUM(C89:C92)</f>
        <v>375196.17599999998</v>
      </c>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row>
    <row r="94" spans="1:32" x14ac:dyDescent="0.2">
      <c r="A94" s="104"/>
      <c r="B94" s="65"/>
      <c r="C94" s="68"/>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row>
    <row r="95" spans="1:32" x14ac:dyDescent="0.2">
      <c r="A95" s="103" t="s">
        <v>92</v>
      </c>
      <c r="B95" s="66"/>
      <c r="C95" s="68"/>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row>
    <row r="96" spans="1:32" x14ac:dyDescent="0.2">
      <c r="A96" s="105" t="s">
        <v>17</v>
      </c>
      <c r="B96" s="64" t="s">
        <v>49</v>
      </c>
      <c r="C96" s="68">
        <f>C26*$C$93</f>
        <v>11255.885279999999</v>
      </c>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row>
    <row r="97" spans="1:32" x14ac:dyDescent="0.2">
      <c r="A97" s="105" t="s">
        <v>18</v>
      </c>
      <c r="B97" s="64" t="s">
        <v>49</v>
      </c>
      <c r="C97" s="68">
        <f>C27*$C$93</f>
        <v>11255.885279999999</v>
      </c>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row>
    <row r="98" spans="1:32" x14ac:dyDescent="0.2">
      <c r="A98" s="105" t="s">
        <v>19</v>
      </c>
      <c r="B98" s="64" t="s">
        <v>49</v>
      </c>
      <c r="C98" s="68">
        <f>C28*$C$93</f>
        <v>5627.9426399999993</v>
      </c>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row>
    <row r="99" spans="1:32" x14ac:dyDescent="0.2">
      <c r="A99" s="105" t="s">
        <v>20</v>
      </c>
      <c r="B99" s="64" t="s">
        <v>49</v>
      </c>
      <c r="C99" s="68">
        <f>C29*$C$93</f>
        <v>7503.9235199999994</v>
      </c>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row>
    <row r="100" spans="1:32" x14ac:dyDescent="0.2">
      <c r="A100" s="105" t="s">
        <v>21</v>
      </c>
      <c r="B100" s="64" t="s">
        <v>49</v>
      </c>
      <c r="C100" s="68">
        <f>C30*$C$93</f>
        <v>13507.062335999999</v>
      </c>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row>
    <row r="101" spans="1:32" x14ac:dyDescent="0.2">
      <c r="A101" s="105" t="s">
        <v>22</v>
      </c>
      <c r="B101" s="64" t="s">
        <v>49</v>
      </c>
      <c r="C101" s="68">
        <f>C31*$C$93</f>
        <v>1500.7847039999999</v>
      </c>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row>
    <row r="102" spans="1:32" x14ac:dyDescent="0.2">
      <c r="A102" s="105" t="s">
        <v>23</v>
      </c>
      <c r="B102" s="64" t="s">
        <v>49</v>
      </c>
      <c r="C102" s="68">
        <f>C32*$C$93</f>
        <v>18759.808799999999</v>
      </c>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row>
    <row r="103" spans="1:32" x14ac:dyDescent="0.2">
      <c r="A103" s="103" t="s">
        <v>89</v>
      </c>
      <c r="B103" s="66" t="s">
        <v>49</v>
      </c>
      <c r="C103" s="67">
        <f>C93+SUM(C96:C102)</f>
        <v>444607.46855999995</v>
      </c>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row>
    <row r="104" spans="1:32" x14ac:dyDescent="0.2">
      <c r="A104" s="102" t="s">
        <v>90</v>
      </c>
      <c r="B104" s="64" t="s">
        <v>49</v>
      </c>
      <c r="C104" s="68">
        <f>C103*C33</f>
        <v>44460.746855999998</v>
      </c>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row>
    <row r="105" spans="1:32" x14ac:dyDescent="0.2">
      <c r="A105" s="103" t="s">
        <v>93</v>
      </c>
      <c r="B105" s="64"/>
      <c r="C105" s="67">
        <f>C103+C104</f>
        <v>489068.21541599993</v>
      </c>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row>
    <row r="106" spans="1:32" x14ac:dyDescent="0.2">
      <c r="A106" s="3"/>
      <c r="B106" s="1"/>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row>
    <row r="107" spans="1:32" x14ac:dyDescent="0.2">
      <c r="A107" s="57" t="s">
        <v>183</v>
      </c>
      <c r="B107" s="1"/>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row>
    <row r="108" spans="1:32" x14ac:dyDescent="0.2">
      <c r="A108" s="102" t="s">
        <v>57</v>
      </c>
      <c r="B108" s="64" t="s">
        <v>49</v>
      </c>
      <c r="C108" s="68">
        <f>C37*$C$89*(1+$C$33)</f>
        <v>108619.3152</v>
      </c>
      <c r="D108" s="68">
        <f>D37*$C$89*(1+$C$33)</f>
        <v>199135.41120000003</v>
      </c>
      <c r="E108" s="68">
        <f>E37*$C$89*(1+$C$33)</f>
        <v>54309.657599999999</v>
      </c>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row>
    <row r="109" spans="1:32" x14ac:dyDescent="0.2">
      <c r="A109" s="102" t="s">
        <v>26</v>
      </c>
      <c r="B109" s="64" t="s">
        <v>49</v>
      </c>
      <c r="C109" s="68">
        <f>($C$90+$C$91)*(1+$C$33)*C38</f>
        <v>0</v>
      </c>
      <c r="D109" s="68">
        <f>($C$90+$C$91)*(1+$C$33)*D38</f>
        <v>0</v>
      </c>
      <c r="E109" s="68">
        <f>($C$90+$C$91)*(1+$C$33)*E38</f>
        <v>48836.409599999999</v>
      </c>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row>
    <row r="110" spans="1:32" x14ac:dyDescent="0.2">
      <c r="A110" s="102" t="s">
        <v>95</v>
      </c>
      <c r="B110" s="64" t="s">
        <v>49</v>
      </c>
      <c r="C110" s="68">
        <f>$C$92*(1+$C$33)*C39</f>
        <v>0</v>
      </c>
      <c r="D110" s="68">
        <f>$C$92*(1+$C$33)*D39</f>
        <v>0</v>
      </c>
      <c r="E110" s="68">
        <f>$C$92*(1+$C$33)*E39</f>
        <v>1815.0000000000002</v>
      </c>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row>
    <row r="111" spans="1:32" x14ac:dyDescent="0.2">
      <c r="A111" s="102" t="s">
        <v>27</v>
      </c>
      <c r="B111" s="64"/>
      <c r="C111" s="68"/>
      <c r="D111" s="68"/>
      <c r="E111" s="68"/>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row>
    <row r="112" spans="1:32" x14ac:dyDescent="0.2">
      <c r="A112" s="105" t="s">
        <v>17</v>
      </c>
      <c r="B112" s="64" t="s">
        <v>49</v>
      </c>
      <c r="C112" s="68">
        <f>$C$96*(1+$C$33)*C41</f>
        <v>12381.473807999999</v>
      </c>
      <c r="D112" s="68">
        <f>$C$96*(1+$C$33)*D41</f>
        <v>0</v>
      </c>
      <c r="E112" s="68">
        <f>$C$96*(1+$C$33)*E41</f>
        <v>0</v>
      </c>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row>
    <row r="113" spans="1:32" x14ac:dyDescent="0.2">
      <c r="A113" s="105" t="s">
        <v>18</v>
      </c>
      <c r="B113" s="64" t="s">
        <v>49</v>
      </c>
      <c r="C113" s="68">
        <f>$C$97*(1+$C$33)*C42</f>
        <v>12381.473807999999</v>
      </c>
      <c r="D113" s="68">
        <f>$C$97*(1+$C$33)*D42</f>
        <v>0</v>
      </c>
      <c r="E113" s="68">
        <f>$C$97*(1+$C$33)*E42</f>
        <v>0</v>
      </c>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row>
    <row r="114" spans="1:32" x14ac:dyDescent="0.2">
      <c r="A114" s="105" t="s">
        <v>19</v>
      </c>
      <c r="B114" s="64" t="s">
        <v>49</v>
      </c>
      <c r="C114" s="68">
        <f>$C$98*(1+$C$33)*C43</f>
        <v>6190.7369039999994</v>
      </c>
      <c r="D114" s="68">
        <f>$C$98*(1+$C$33)*D43</f>
        <v>0</v>
      </c>
      <c r="E114" s="68">
        <f>$C$98*(1+$C$33)*E43</f>
        <v>0</v>
      </c>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row>
    <row r="115" spans="1:32" x14ac:dyDescent="0.2">
      <c r="A115" s="105" t="s">
        <v>58</v>
      </c>
      <c r="B115" s="64" t="s">
        <v>49</v>
      </c>
      <c r="C115" s="68">
        <f>$C$99*(1+$C$33)*C44</f>
        <v>4127.1579359999996</v>
      </c>
      <c r="D115" s="68">
        <f>$C$99*(1+$C$33)*D44</f>
        <v>0</v>
      </c>
      <c r="E115" s="68">
        <f>$C$99*(1+$C$33)*E44</f>
        <v>4127.1579359999996</v>
      </c>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row>
    <row r="116" spans="1:32" x14ac:dyDescent="0.2">
      <c r="A116" s="105" t="s">
        <v>21</v>
      </c>
      <c r="B116" s="64" t="s">
        <v>49</v>
      </c>
      <c r="C116" s="68">
        <f>$C$100*(1+$C$33)*C45</f>
        <v>7428.8842848000004</v>
      </c>
      <c r="D116" s="68">
        <f>$C$100*(1+$C$33)*D45</f>
        <v>4457.3305708799999</v>
      </c>
      <c r="E116" s="68">
        <f>$C$100*(1+$C$33)*E45</f>
        <v>2971.5537139200005</v>
      </c>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row>
    <row r="117" spans="1:32" x14ac:dyDescent="0.2">
      <c r="A117" s="105" t="s">
        <v>22</v>
      </c>
      <c r="B117" s="64" t="s">
        <v>49</v>
      </c>
      <c r="C117" s="68">
        <f>$C$101*(1+$C$33)*C46</f>
        <v>577.80211103999989</v>
      </c>
      <c r="D117" s="68">
        <f>$C$101*(1+$C$33)*D46</f>
        <v>495.25895231999993</v>
      </c>
      <c r="E117" s="68">
        <f>$C$101*(1+$C$33)*E46</f>
        <v>577.80211103999989</v>
      </c>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row>
    <row r="118" spans="1:32" x14ac:dyDescent="0.2">
      <c r="A118" s="105" t="s">
        <v>23</v>
      </c>
      <c r="B118" s="64" t="s">
        <v>49</v>
      </c>
      <c r="C118" s="68">
        <f>$C$102*(1+$C$33)*C47</f>
        <v>6190.7369040000003</v>
      </c>
      <c r="D118" s="68">
        <f>$C$102*(1+$C$33)*D47</f>
        <v>7222.5263880000002</v>
      </c>
      <c r="E118" s="68">
        <f>$C$102*(1+$C$33)*E47</f>
        <v>7222.5263880000002</v>
      </c>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row>
    <row r="119" spans="1:32" s="5" customFormat="1" x14ac:dyDescent="0.2">
      <c r="A119" s="103" t="s">
        <v>94</v>
      </c>
      <c r="B119" s="66" t="s">
        <v>49</v>
      </c>
      <c r="C119" s="67">
        <f>SUM(C108:C118)</f>
        <v>157897.58095583998</v>
      </c>
      <c r="D119" s="67">
        <f t="shared" ref="D119:E119" si="1">SUM(D108:D118)</f>
        <v>211310.52711120003</v>
      </c>
      <c r="E119" s="67">
        <f t="shared" si="1"/>
        <v>119860.10734895999</v>
      </c>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row>
    <row r="120" spans="1:32" s="5" customFormat="1" x14ac:dyDescent="0.2">
      <c r="A120" s="106" t="s">
        <v>109</v>
      </c>
      <c r="B120" s="66" t="s">
        <v>49</v>
      </c>
      <c r="C120" s="67">
        <f>SUM(C119:E119)</f>
        <v>489068.21541599999</v>
      </c>
      <c r="D120" s="67"/>
      <c r="E120" s="67"/>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row>
    <row r="121" spans="1:32" x14ac:dyDescent="0.2">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row>
    <row r="122" spans="1:32" x14ac:dyDescent="0.2">
      <c r="A122" s="70" t="s">
        <v>96</v>
      </c>
      <c r="B122" s="1"/>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row>
    <row r="123" spans="1:32" x14ac:dyDescent="0.2">
      <c r="A123" s="71" t="s">
        <v>97</v>
      </c>
      <c r="B123" s="72" t="s">
        <v>49</v>
      </c>
      <c r="C123" s="130">
        <f>C119*C58</f>
        <v>126318.06476467199</v>
      </c>
      <c r="D123" s="130">
        <f>D119*D58</f>
        <v>63393.158133360004</v>
      </c>
      <c r="E123" s="130">
        <f t="shared" ref="E123" si="2">E119*E58</f>
        <v>0</v>
      </c>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row>
    <row r="124" spans="1:32" x14ac:dyDescent="0.2">
      <c r="A124" s="71" t="s">
        <v>98</v>
      </c>
      <c r="B124" s="72" t="s">
        <v>49</v>
      </c>
      <c r="C124" s="130">
        <f>C119*C59</f>
        <v>31579.516191167997</v>
      </c>
      <c r="D124" s="130">
        <f t="shared" ref="D124" si="3">D119*D59</f>
        <v>147917.36897784</v>
      </c>
      <c r="E124" s="130">
        <f>E119*E59</f>
        <v>119860.10734895999</v>
      </c>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row>
    <row r="125" spans="1:32" x14ac:dyDescent="0.2">
      <c r="A125" s="1"/>
      <c r="B125" s="1"/>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row>
    <row r="126" spans="1:32" x14ac:dyDescent="0.2">
      <c r="A126" s="70" t="s">
        <v>99</v>
      </c>
      <c r="B126" s="1"/>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row>
    <row r="127" spans="1:32" x14ac:dyDescent="0.2">
      <c r="A127" s="71" t="s">
        <v>100</v>
      </c>
      <c r="B127" s="72" t="s">
        <v>49</v>
      </c>
      <c r="C127" s="130">
        <v>0</v>
      </c>
      <c r="D127" s="130">
        <f>C133</f>
        <v>31579.516191167997</v>
      </c>
      <c r="E127" s="130">
        <f>D133</f>
        <v>181233.75855952222</v>
      </c>
      <c r="F127" s="130">
        <f>E133</f>
        <v>311061.72262925596</v>
      </c>
      <c r="G127" s="130">
        <f t="shared" ref="G127:J127" si="4">F133</f>
        <v>311061.72262925596</v>
      </c>
      <c r="H127" s="130">
        <f t="shared" si="4"/>
        <v>311061.72262925596</v>
      </c>
      <c r="I127" s="130">
        <f t="shared" si="4"/>
        <v>311061.72262925596</v>
      </c>
      <c r="J127" s="130">
        <f t="shared" si="4"/>
        <v>311061.72262925596</v>
      </c>
      <c r="K127" s="130">
        <f t="shared" ref="K127:S127" si="5">J133</f>
        <v>279955.55036633037</v>
      </c>
      <c r="L127" s="130">
        <f t="shared" si="5"/>
        <v>248849.37810340477</v>
      </c>
      <c r="M127" s="130">
        <f t="shared" si="5"/>
        <v>217743.20584047918</v>
      </c>
      <c r="N127" s="130">
        <f t="shared" si="5"/>
        <v>186637.03357755358</v>
      </c>
      <c r="O127" s="130">
        <f t="shared" si="5"/>
        <v>155530.86131462798</v>
      </c>
      <c r="P127" s="130">
        <f t="shared" si="5"/>
        <v>124424.68905170239</v>
      </c>
      <c r="Q127" s="130">
        <f t="shared" si="5"/>
        <v>93318.516788776789</v>
      </c>
      <c r="R127" s="130">
        <f t="shared" si="5"/>
        <v>62212.344525851193</v>
      </c>
      <c r="S127" s="130">
        <f t="shared" si="5"/>
        <v>31106.172262925596</v>
      </c>
      <c r="T127" s="9"/>
      <c r="U127" s="9"/>
      <c r="V127" s="9"/>
      <c r="W127" s="9"/>
      <c r="X127" s="9"/>
      <c r="Y127" s="9"/>
      <c r="Z127" s="9"/>
      <c r="AA127" s="9"/>
      <c r="AB127" s="9"/>
      <c r="AC127" s="9"/>
      <c r="AD127" s="9"/>
      <c r="AE127" s="9"/>
      <c r="AF127" s="9"/>
    </row>
    <row r="128" spans="1:32" x14ac:dyDescent="0.2">
      <c r="A128" s="71" t="s">
        <v>101</v>
      </c>
      <c r="B128" s="72" t="s">
        <v>49</v>
      </c>
      <c r="C128" s="130">
        <f>C124</f>
        <v>31579.516191167997</v>
      </c>
      <c r="D128" s="130">
        <f t="shared" ref="D128" si="6">D124</f>
        <v>147917.36897784</v>
      </c>
      <c r="E128" s="130">
        <f>E124</f>
        <v>119860.10734895999</v>
      </c>
      <c r="F128" s="130">
        <v>0</v>
      </c>
      <c r="G128" s="130">
        <v>0</v>
      </c>
      <c r="H128" s="130">
        <v>0</v>
      </c>
      <c r="I128" s="130">
        <v>0</v>
      </c>
      <c r="J128" s="130">
        <v>0</v>
      </c>
      <c r="K128" s="130">
        <v>0</v>
      </c>
      <c r="L128" s="130">
        <v>0</v>
      </c>
      <c r="M128" s="130">
        <v>0</v>
      </c>
      <c r="N128" s="130">
        <v>0</v>
      </c>
      <c r="O128" s="130">
        <v>0</v>
      </c>
      <c r="P128" s="130">
        <v>0</v>
      </c>
      <c r="Q128" s="130">
        <v>0</v>
      </c>
      <c r="R128" s="130">
        <v>0</v>
      </c>
      <c r="S128" s="130">
        <v>0</v>
      </c>
      <c r="T128" s="9"/>
      <c r="U128" s="9"/>
      <c r="V128" s="9"/>
      <c r="W128" s="9"/>
      <c r="X128" s="9"/>
      <c r="Y128" s="9"/>
      <c r="Z128" s="9"/>
      <c r="AA128" s="9"/>
      <c r="AB128" s="9"/>
      <c r="AC128" s="9"/>
      <c r="AD128" s="9"/>
      <c r="AE128" s="9"/>
      <c r="AF128" s="9"/>
    </row>
    <row r="129" spans="1:32" x14ac:dyDescent="0.2">
      <c r="A129" s="71" t="s">
        <v>102</v>
      </c>
      <c r="B129" s="72" t="s">
        <v>49</v>
      </c>
      <c r="C129" s="130">
        <f>C127*$C$53</f>
        <v>0</v>
      </c>
      <c r="D129" s="130">
        <f t="shared" ref="D129:E129" si="7">D127*$C$53</f>
        <v>1736.8733905142399</v>
      </c>
      <c r="E129" s="130">
        <f t="shared" si="7"/>
        <v>9967.8567207737215</v>
      </c>
      <c r="F129" s="130">
        <v>0</v>
      </c>
      <c r="G129" s="130">
        <v>0</v>
      </c>
      <c r="H129" s="130">
        <v>0</v>
      </c>
      <c r="I129" s="130">
        <v>0</v>
      </c>
      <c r="J129" s="130">
        <v>0</v>
      </c>
      <c r="K129" s="130">
        <v>0</v>
      </c>
      <c r="L129" s="130">
        <v>0</v>
      </c>
      <c r="M129" s="130">
        <v>0</v>
      </c>
      <c r="N129" s="130">
        <v>0</v>
      </c>
      <c r="O129" s="130">
        <v>0</v>
      </c>
      <c r="P129" s="130">
        <v>0</v>
      </c>
      <c r="Q129" s="130">
        <v>0</v>
      </c>
      <c r="R129" s="130">
        <v>0</v>
      </c>
      <c r="S129" s="130">
        <v>0</v>
      </c>
      <c r="T129" s="9"/>
      <c r="U129" s="9"/>
      <c r="V129" s="9"/>
      <c r="W129" s="9"/>
      <c r="X129" s="9"/>
      <c r="Y129" s="9"/>
      <c r="Z129" s="9"/>
      <c r="AA129" s="9"/>
      <c r="AB129" s="9"/>
      <c r="AC129" s="9"/>
      <c r="AD129" s="9"/>
      <c r="AE129" s="9"/>
      <c r="AF129" s="9"/>
    </row>
    <row r="130" spans="1:32" x14ac:dyDescent="0.2">
      <c r="A130" s="71" t="s">
        <v>103</v>
      </c>
      <c r="B130" s="72" t="s">
        <v>49</v>
      </c>
      <c r="C130" s="130">
        <v>0</v>
      </c>
      <c r="D130" s="130">
        <v>0</v>
      </c>
      <c r="E130" s="130">
        <v>0</v>
      </c>
      <c r="F130" s="130">
        <f>F127*$C$53</f>
        <v>17108.394744609079</v>
      </c>
      <c r="G130" s="130">
        <f t="shared" ref="G130:J130" si="8">G127*$C$53</f>
        <v>17108.394744609079</v>
      </c>
      <c r="H130" s="130">
        <f t="shared" si="8"/>
        <v>17108.394744609079</v>
      </c>
      <c r="I130" s="130">
        <f t="shared" si="8"/>
        <v>17108.394744609079</v>
      </c>
      <c r="J130" s="130">
        <f t="shared" si="8"/>
        <v>17108.394744609079</v>
      </c>
      <c r="K130" s="130">
        <f t="shared" ref="K130:S130" si="9">K127*$C$53</f>
        <v>15397.55527014817</v>
      </c>
      <c r="L130" s="130">
        <f t="shared" si="9"/>
        <v>13686.715795687263</v>
      </c>
      <c r="M130" s="130">
        <f t="shared" si="9"/>
        <v>11975.876321226355</v>
      </c>
      <c r="N130" s="130">
        <f t="shared" si="9"/>
        <v>10265.036846765446</v>
      </c>
      <c r="O130" s="130">
        <f t="shared" si="9"/>
        <v>8554.1973723045394</v>
      </c>
      <c r="P130" s="130">
        <f t="shared" si="9"/>
        <v>6843.3578978436317</v>
      </c>
      <c r="Q130" s="130">
        <f t="shared" si="9"/>
        <v>5132.5184233827231</v>
      </c>
      <c r="R130" s="130">
        <f t="shared" si="9"/>
        <v>3421.6789489218158</v>
      </c>
      <c r="S130" s="130">
        <f t="shared" si="9"/>
        <v>1710.8394744609079</v>
      </c>
      <c r="T130" s="9"/>
      <c r="U130" s="9"/>
      <c r="V130" s="9"/>
      <c r="W130" s="9"/>
      <c r="X130" s="9"/>
      <c r="Y130" s="9"/>
      <c r="Z130" s="9"/>
      <c r="AA130" s="9"/>
      <c r="AB130" s="9"/>
      <c r="AC130" s="9"/>
      <c r="AD130" s="9"/>
      <c r="AE130" s="9"/>
      <c r="AF130" s="9"/>
    </row>
    <row r="131" spans="1:32" x14ac:dyDescent="0.2">
      <c r="A131" s="71" t="s">
        <v>104</v>
      </c>
      <c r="B131" s="72" t="s">
        <v>49</v>
      </c>
      <c r="C131" s="130">
        <v>0</v>
      </c>
      <c r="D131" s="130">
        <v>0</v>
      </c>
      <c r="E131" s="130">
        <v>0</v>
      </c>
      <c r="F131" s="130">
        <v>0</v>
      </c>
      <c r="G131" s="130">
        <v>0</v>
      </c>
      <c r="H131" s="130">
        <v>0</v>
      </c>
      <c r="I131" s="130">
        <v>0</v>
      </c>
      <c r="J131" s="130">
        <f>$F$127/$C$55</f>
        <v>31106.172262925596</v>
      </c>
      <c r="K131" s="130">
        <f t="shared" ref="K131:S131" si="10">$F$127/$C$55</f>
        <v>31106.172262925596</v>
      </c>
      <c r="L131" s="130">
        <f t="shared" si="10"/>
        <v>31106.172262925596</v>
      </c>
      <c r="M131" s="130">
        <f t="shared" si="10"/>
        <v>31106.172262925596</v>
      </c>
      <c r="N131" s="130">
        <f t="shared" si="10"/>
        <v>31106.172262925596</v>
      </c>
      <c r="O131" s="130">
        <f t="shared" si="10"/>
        <v>31106.172262925596</v>
      </c>
      <c r="P131" s="130">
        <f t="shared" si="10"/>
        <v>31106.172262925596</v>
      </c>
      <c r="Q131" s="130">
        <f t="shared" si="10"/>
        <v>31106.172262925596</v>
      </c>
      <c r="R131" s="130">
        <f t="shared" si="10"/>
        <v>31106.172262925596</v>
      </c>
      <c r="S131" s="130">
        <f t="shared" si="10"/>
        <v>31106.172262925596</v>
      </c>
      <c r="T131" s="9"/>
      <c r="U131" s="9"/>
      <c r="V131" s="9"/>
      <c r="W131" s="9"/>
      <c r="X131" s="9"/>
      <c r="Y131" s="9"/>
      <c r="Z131" s="9"/>
      <c r="AA131" s="9"/>
      <c r="AB131" s="9"/>
      <c r="AC131" s="9"/>
      <c r="AD131" s="9"/>
      <c r="AE131" s="9"/>
      <c r="AF131" s="9"/>
    </row>
    <row r="132" spans="1:32" x14ac:dyDescent="0.2">
      <c r="A132" s="71" t="s">
        <v>105</v>
      </c>
      <c r="B132" s="72" t="s">
        <v>49</v>
      </c>
      <c r="C132" s="130">
        <f>C130+C131</f>
        <v>0</v>
      </c>
      <c r="D132" s="130">
        <f t="shared" ref="D132:E132" si="11">D130+D131</f>
        <v>0</v>
      </c>
      <c r="E132" s="130">
        <f t="shared" si="11"/>
        <v>0</v>
      </c>
      <c r="F132" s="130">
        <f>F130+F131</f>
        <v>17108.394744609079</v>
      </c>
      <c r="G132" s="130">
        <f t="shared" ref="G132:J132" si="12">G130+G131</f>
        <v>17108.394744609079</v>
      </c>
      <c r="H132" s="130">
        <f t="shared" si="12"/>
        <v>17108.394744609079</v>
      </c>
      <c r="I132" s="130">
        <f t="shared" si="12"/>
        <v>17108.394744609079</v>
      </c>
      <c r="J132" s="130">
        <f t="shared" si="12"/>
        <v>48214.567007534672</v>
      </c>
      <c r="K132" s="130">
        <f t="shared" ref="K132" si="13">K130+K131</f>
        <v>46503.727533073768</v>
      </c>
      <c r="L132" s="130">
        <f t="shared" ref="L132" si="14">L130+L131</f>
        <v>44792.888058612858</v>
      </c>
      <c r="M132" s="130">
        <f t="shared" ref="M132" si="15">M130+M131</f>
        <v>43082.048584151955</v>
      </c>
      <c r="N132" s="130">
        <f t="shared" ref="N132" si="16">N130+N131</f>
        <v>41371.209109691044</v>
      </c>
      <c r="O132" s="130">
        <f t="shared" ref="O132" si="17">O130+O131</f>
        <v>39660.369635230134</v>
      </c>
      <c r="P132" s="130">
        <f t="shared" ref="P132" si="18">P130+P131</f>
        <v>37949.530160769231</v>
      </c>
      <c r="Q132" s="130">
        <f t="shared" ref="Q132" si="19">Q130+Q131</f>
        <v>36238.69068630832</v>
      </c>
      <c r="R132" s="130">
        <f t="shared" ref="R132" si="20">R130+R131</f>
        <v>34527.85121184741</v>
      </c>
      <c r="S132" s="130">
        <f t="shared" ref="S132" si="21">S130+S131</f>
        <v>32817.011737386507</v>
      </c>
      <c r="T132" s="9"/>
      <c r="U132" s="9"/>
      <c r="V132" s="9"/>
      <c r="W132" s="9"/>
      <c r="X132" s="9"/>
      <c r="Y132" s="9"/>
      <c r="Z132" s="9"/>
      <c r="AA132" s="9"/>
      <c r="AB132" s="9"/>
      <c r="AC132" s="9"/>
      <c r="AD132" s="9"/>
      <c r="AE132" s="9"/>
      <c r="AF132" s="9"/>
    </row>
    <row r="133" spans="1:32" x14ac:dyDescent="0.2">
      <c r="A133" s="71" t="s">
        <v>106</v>
      </c>
      <c r="B133" s="72" t="s">
        <v>49</v>
      </c>
      <c r="C133" s="130">
        <f>C127+C128+C129-C131</f>
        <v>31579.516191167997</v>
      </c>
      <c r="D133" s="130">
        <f>D127+D128+D129-D131</f>
        <v>181233.75855952222</v>
      </c>
      <c r="E133" s="130">
        <f t="shared" ref="E133" si="22">E127+E128+E129-E131</f>
        <v>311061.72262925596</v>
      </c>
      <c r="F133" s="130">
        <f>F127+F128+F129-F131</f>
        <v>311061.72262925596</v>
      </c>
      <c r="G133" s="130">
        <f t="shared" ref="G133:J133" si="23">G127+G128+G129-G131</f>
        <v>311061.72262925596</v>
      </c>
      <c r="H133" s="130">
        <f t="shared" si="23"/>
        <v>311061.72262925596</v>
      </c>
      <c r="I133" s="130">
        <f t="shared" si="23"/>
        <v>311061.72262925596</v>
      </c>
      <c r="J133" s="130">
        <f t="shared" si="23"/>
        <v>279955.55036633037</v>
      </c>
      <c r="K133" s="130">
        <f t="shared" ref="K133:S133" si="24">K127+K128+K129-K131</f>
        <v>248849.37810340477</v>
      </c>
      <c r="L133" s="130">
        <f t="shared" si="24"/>
        <v>217743.20584047918</v>
      </c>
      <c r="M133" s="130">
        <f t="shared" si="24"/>
        <v>186637.03357755358</v>
      </c>
      <c r="N133" s="130">
        <f t="shared" si="24"/>
        <v>155530.86131462798</v>
      </c>
      <c r="O133" s="130">
        <f t="shared" si="24"/>
        <v>124424.68905170239</v>
      </c>
      <c r="P133" s="130">
        <f t="shared" si="24"/>
        <v>93318.516788776789</v>
      </c>
      <c r="Q133" s="130">
        <f t="shared" si="24"/>
        <v>62212.344525851193</v>
      </c>
      <c r="R133" s="130">
        <f t="shared" si="24"/>
        <v>31106.172262925596</v>
      </c>
      <c r="S133" s="130">
        <f t="shared" si="24"/>
        <v>0</v>
      </c>
      <c r="T133" s="9"/>
      <c r="U133" s="9"/>
      <c r="V133" s="9"/>
      <c r="W133" s="9"/>
      <c r="X133" s="9"/>
      <c r="Y133" s="9"/>
      <c r="Z133" s="9"/>
      <c r="AA133" s="9"/>
      <c r="AB133" s="9"/>
      <c r="AC133" s="9"/>
      <c r="AD133" s="9"/>
      <c r="AE133" s="9"/>
      <c r="AF133" s="9"/>
    </row>
    <row r="134" spans="1:32" x14ac:dyDescent="0.2">
      <c r="A134" s="73" t="s">
        <v>107</v>
      </c>
      <c r="B134" s="72" t="s">
        <v>49</v>
      </c>
      <c r="C134" s="130">
        <f>C128-C132</f>
        <v>31579.516191167997</v>
      </c>
      <c r="D134" s="130">
        <f>D128-D132</f>
        <v>147917.36897784</v>
      </c>
      <c r="E134" s="130">
        <f>E128-E132</f>
        <v>119860.10734895999</v>
      </c>
      <c r="F134" s="130">
        <f>F128-F132</f>
        <v>-17108.394744609079</v>
      </c>
      <c r="G134" s="130">
        <f>G128-G132</f>
        <v>-17108.394744609079</v>
      </c>
      <c r="H134" s="130">
        <f>H128-H132</f>
        <v>-17108.394744609079</v>
      </c>
      <c r="I134" s="130">
        <f>I128-I132</f>
        <v>-17108.394744609079</v>
      </c>
      <c r="J134" s="130">
        <f>J128-J132</f>
        <v>-48214.567007534672</v>
      </c>
      <c r="K134" s="130">
        <f>K128-K132</f>
        <v>-46503.727533073768</v>
      </c>
      <c r="L134" s="130">
        <f>L128-L132</f>
        <v>-44792.888058612858</v>
      </c>
      <c r="M134" s="130">
        <f>M128-M132</f>
        <v>-43082.048584151955</v>
      </c>
      <c r="N134" s="130">
        <f>N128-N132</f>
        <v>-41371.209109691044</v>
      </c>
      <c r="O134" s="130">
        <f>O128-O132</f>
        <v>-39660.369635230134</v>
      </c>
      <c r="P134" s="130">
        <f>P128-P132</f>
        <v>-37949.530160769231</v>
      </c>
      <c r="Q134" s="130">
        <f>Q128-Q132</f>
        <v>-36238.69068630832</v>
      </c>
      <c r="R134" s="130">
        <f>R128-R132</f>
        <v>-34527.85121184741</v>
      </c>
      <c r="S134" s="130">
        <f>S128-S132</f>
        <v>-32817.011737386507</v>
      </c>
      <c r="T134" s="9"/>
      <c r="U134" s="9"/>
      <c r="V134" s="9"/>
      <c r="W134" s="9"/>
      <c r="X134" s="9"/>
      <c r="Y134" s="9"/>
      <c r="Z134" s="9"/>
      <c r="AA134" s="9"/>
      <c r="AB134" s="9"/>
      <c r="AC134" s="9"/>
      <c r="AD134" s="9"/>
      <c r="AE134" s="9"/>
      <c r="AF134" s="9"/>
    </row>
    <row r="135" spans="1:32" x14ac:dyDescent="0.2">
      <c r="A135" s="73" t="s">
        <v>108</v>
      </c>
      <c r="B135" s="72" t="s">
        <v>49</v>
      </c>
      <c r="C135" s="131">
        <f>SUM(C129:E129)+C120</f>
        <v>500772.94552728796</v>
      </c>
      <c r="D135" s="130"/>
      <c r="E135" s="130"/>
      <c r="F135" s="130"/>
      <c r="G135" s="130"/>
      <c r="H135" s="130"/>
      <c r="I135" s="130"/>
      <c r="J135" s="130"/>
      <c r="K135" s="130"/>
      <c r="L135" s="130"/>
      <c r="M135" s="130"/>
      <c r="N135" s="130"/>
      <c r="O135" s="130"/>
      <c r="P135" s="130"/>
      <c r="Q135" s="130"/>
      <c r="R135" s="130"/>
      <c r="S135" s="130"/>
      <c r="T135" s="9"/>
      <c r="U135" s="9"/>
      <c r="V135" s="9"/>
      <c r="W135" s="9"/>
      <c r="X135" s="9"/>
      <c r="Y135" s="9"/>
      <c r="Z135" s="9"/>
      <c r="AA135" s="9"/>
      <c r="AB135" s="9"/>
      <c r="AC135" s="9"/>
      <c r="AD135" s="9"/>
      <c r="AE135" s="9"/>
      <c r="AF135" s="9"/>
    </row>
    <row r="136" spans="1:32" x14ac:dyDescent="0.2">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row>
    <row r="137" spans="1:32" x14ac:dyDescent="0.2">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row>
    <row r="138" spans="1:32" x14ac:dyDescent="0.2">
      <c r="A138" s="74" t="s">
        <v>110</v>
      </c>
      <c r="B138" s="1"/>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row>
    <row r="139" spans="1:32" x14ac:dyDescent="0.2">
      <c r="A139" s="75" t="s">
        <v>125</v>
      </c>
      <c r="B139" s="76" t="s">
        <v>49</v>
      </c>
      <c r="C139" s="132"/>
      <c r="D139" s="132"/>
      <c r="E139" s="132"/>
      <c r="F139" s="132">
        <f>(SUM($C$108:$E$108)+SUM($C$110:$E$110))/$C$62</f>
        <v>14555.175360000001</v>
      </c>
      <c r="G139" s="132">
        <f t="shared" ref="G139:AD139" si="25">(SUM($C$108:$E$108)+SUM($C$110:$E$110))/$C$62</f>
        <v>14555.175360000001</v>
      </c>
      <c r="H139" s="132">
        <f t="shared" si="25"/>
        <v>14555.175360000001</v>
      </c>
      <c r="I139" s="132">
        <f t="shared" si="25"/>
        <v>14555.175360000001</v>
      </c>
      <c r="J139" s="132">
        <f t="shared" si="25"/>
        <v>14555.175360000001</v>
      </c>
      <c r="K139" s="132">
        <f t="shared" si="25"/>
        <v>14555.175360000001</v>
      </c>
      <c r="L139" s="132">
        <f t="shared" si="25"/>
        <v>14555.175360000001</v>
      </c>
      <c r="M139" s="132">
        <f t="shared" si="25"/>
        <v>14555.175360000001</v>
      </c>
      <c r="N139" s="132">
        <f t="shared" si="25"/>
        <v>14555.175360000001</v>
      </c>
      <c r="O139" s="132">
        <f t="shared" si="25"/>
        <v>14555.175360000001</v>
      </c>
      <c r="P139" s="132">
        <f t="shared" si="25"/>
        <v>14555.175360000001</v>
      </c>
      <c r="Q139" s="132">
        <f t="shared" si="25"/>
        <v>14555.175360000001</v>
      </c>
      <c r="R139" s="132">
        <f t="shared" si="25"/>
        <v>14555.175360000001</v>
      </c>
      <c r="S139" s="132">
        <f t="shared" si="25"/>
        <v>14555.175360000001</v>
      </c>
      <c r="T139" s="132">
        <f t="shared" si="25"/>
        <v>14555.175360000001</v>
      </c>
      <c r="U139" s="132">
        <f t="shared" si="25"/>
        <v>14555.175360000001</v>
      </c>
      <c r="V139" s="132">
        <f t="shared" si="25"/>
        <v>14555.175360000001</v>
      </c>
      <c r="W139" s="132">
        <f t="shared" si="25"/>
        <v>14555.175360000001</v>
      </c>
      <c r="X139" s="132">
        <f t="shared" si="25"/>
        <v>14555.175360000001</v>
      </c>
      <c r="Y139" s="132">
        <f t="shared" si="25"/>
        <v>14555.175360000001</v>
      </c>
      <c r="Z139" s="132">
        <f t="shared" si="25"/>
        <v>14555.175360000001</v>
      </c>
      <c r="AA139" s="132">
        <f t="shared" si="25"/>
        <v>14555.175360000001</v>
      </c>
      <c r="AB139" s="132">
        <f t="shared" si="25"/>
        <v>14555.175360000001</v>
      </c>
      <c r="AC139" s="132">
        <f t="shared" si="25"/>
        <v>14555.175360000001</v>
      </c>
      <c r="AD139" s="132">
        <f t="shared" si="25"/>
        <v>14555.175360000001</v>
      </c>
      <c r="AE139" s="9"/>
      <c r="AF139" s="9"/>
    </row>
    <row r="140" spans="1:32" x14ac:dyDescent="0.2">
      <c r="A140" s="75" t="s">
        <v>30</v>
      </c>
      <c r="B140" s="76" t="s">
        <v>49</v>
      </c>
      <c r="C140" s="132"/>
      <c r="D140" s="132"/>
      <c r="E140" s="132"/>
      <c r="F140" s="132">
        <f>SUM($C$109:$E$109)/$C$63</f>
        <v>9767.2819199999994</v>
      </c>
      <c r="G140" s="132">
        <f t="shared" ref="G140:J140" si="26">SUM($C$109:$E$109)/$C$63</f>
        <v>9767.2819199999994</v>
      </c>
      <c r="H140" s="132">
        <f t="shared" si="26"/>
        <v>9767.2819199999994</v>
      </c>
      <c r="I140" s="132">
        <f t="shared" si="26"/>
        <v>9767.2819199999994</v>
      </c>
      <c r="J140" s="132">
        <f t="shared" si="26"/>
        <v>9767.2819199999994</v>
      </c>
      <c r="K140" s="132"/>
      <c r="L140" s="132"/>
      <c r="M140" s="132"/>
      <c r="N140" s="132"/>
      <c r="O140" s="132"/>
      <c r="P140" s="132"/>
      <c r="Q140" s="132"/>
      <c r="R140" s="132"/>
      <c r="S140" s="132"/>
      <c r="T140" s="132"/>
      <c r="U140" s="132"/>
      <c r="V140" s="132"/>
      <c r="W140" s="132"/>
      <c r="X140" s="132"/>
      <c r="Y140" s="132"/>
      <c r="Z140" s="132"/>
      <c r="AA140" s="132"/>
      <c r="AB140" s="132"/>
      <c r="AC140" s="132"/>
      <c r="AD140" s="132"/>
      <c r="AE140" s="9"/>
      <c r="AF140" s="9"/>
    </row>
    <row r="141" spans="1:32" x14ac:dyDescent="0.2">
      <c r="A141" s="75" t="s">
        <v>111</v>
      </c>
      <c r="B141" s="76" t="s">
        <v>49</v>
      </c>
      <c r="C141" s="132"/>
      <c r="D141" s="132"/>
      <c r="E141" s="132"/>
      <c r="F141" s="132">
        <f>(SUM($C$112:$E$114)+SUM($D$129:$E$129))/$C$64</f>
        <v>1706.3365852515185</v>
      </c>
      <c r="G141" s="132">
        <f t="shared" ref="G141:AD141" si="27">(SUM($C$112:$E$114)+SUM($D$129:$E$129))/$C$64</f>
        <v>1706.3365852515185</v>
      </c>
      <c r="H141" s="132">
        <f t="shared" si="27"/>
        <v>1706.3365852515185</v>
      </c>
      <c r="I141" s="132">
        <f t="shared" si="27"/>
        <v>1706.3365852515185</v>
      </c>
      <c r="J141" s="132">
        <f t="shared" si="27"/>
        <v>1706.3365852515185</v>
      </c>
      <c r="K141" s="132">
        <f t="shared" si="27"/>
        <v>1706.3365852515185</v>
      </c>
      <c r="L141" s="132">
        <f t="shared" si="27"/>
        <v>1706.3365852515185</v>
      </c>
      <c r="M141" s="132">
        <f t="shared" si="27"/>
        <v>1706.3365852515185</v>
      </c>
      <c r="N141" s="132">
        <f t="shared" si="27"/>
        <v>1706.3365852515185</v>
      </c>
      <c r="O141" s="132">
        <f t="shared" si="27"/>
        <v>1706.3365852515185</v>
      </c>
      <c r="P141" s="132">
        <f t="shared" si="27"/>
        <v>1706.3365852515185</v>
      </c>
      <c r="Q141" s="132">
        <f t="shared" si="27"/>
        <v>1706.3365852515185</v>
      </c>
      <c r="R141" s="132">
        <f t="shared" si="27"/>
        <v>1706.3365852515185</v>
      </c>
      <c r="S141" s="132">
        <f t="shared" si="27"/>
        <v>1706.3365852515185</v>
      </c>
      <c r="T141" s="132">
        <f t="shared" si="27"/>
        <v>1706.3365852515185</v>
      </c>
      <c r="U141" s="132">
        <f t="shared" si="27"/>
        <v>1706.3365852515185</v>
      </c>
      <c r="V141" s="132">
        <f t="shared" si="27"/>
        <v>1706.3365852515185</v>
      </c>
      <c r="W141" s="132">
        <f t="shared" si="27"/>
        <v>1706.3365852515185</v>
      </c>
      <c r="X141" s="132">
        <f t="shared" si="27"/>
        <v>1706.3365852515185</v>
      </c>
      <c r="Y141" s="132">
        <f t="shared" si="27"/>
        <v>1706.3365852515185</v>
      </c>
      <c r="Z141" s="132">
        <f t="shared" si="27"/>
        <v>1706.3365852515185</v>
      </c>
      <c r="AA141" s="132">
        <f t="shared" si="27"/>
        <v>1706.3365852515185</v>
      </c>
      <c r="AB141" s="132">
        <f t="shared" si="27"/>
        <v>1706.3365852515185</v>
      </c>
      <c r="AC141" s="132">
        <f t="shared" si="27"/>
        <v>1706.3365852515185</v>
      </c>
      <c r="AD141" s="132">
        <f t="shared" si="27"/>
        <v>1706.3365852515185</v>
      </c>
      <c r="AE141" s="9"/>
      <c r="AF141" s="9"/>
    </row>
    <row r="142" spans="1:32" x14ac:dyDescent="0.2">
      <c r="A142" s="75" t="s">
        <v>112</v>
      </c>
      <c r="B142" s="76" t="s">
        <v>49</v>
      </c>
      <c r="C142" s="132"/>
      <c r="D142" s="132"/>
      <c r="E142" s="132"/>
      <c r="F142" s="132">
        <f>SUM(C108:E114)+SUM(C129:E129)</f>
        <v>455374.20823128795</v>
      </c>
      <c r="G142" s="132">
        <f>F144</f>
        <v>429345.41436603642</v>
      </c>
      <c r="H142" s="132">
        <f t="shared" ref="H142:AD142" si="28">G144</f>
        <v>403316.62050078489</v>
      </c>
      <c r="I142" s="132">
        <f t="shared" si="28"/>
        <v>377287.82663553336</v>
      </c>
      <c r="J142" s="132">
        <f t="shared" si="28"/>
        <v>351259.03277028183</v>
      </c>
      <c r="K142" s="132">
        <f t="shared" si="28"/>
        <v>325230.2389050303</v>
      </c>
      <c r="L142" s="132">
        <f t="shared" si="28"/>
        <v>308968.72695977881</v>
      </c>
      <c r="M142" s="132">
        <f t="shared" si="28"/>
        <v>292707.21501452732</v>
      </c>
      <c r="N142" s="132">
        <f t="shared" si="28"/>
        <v>276445.70306927583</v>
      </c>
      <c r="O142" s="132">
        <f t="shared" si="28"/>
        <v>260184.19112402431</v>
      </c>
      <c r="P142" s="132">
        <f t="shared" si="28"/>
        <v>243922.67917877279</v>
      </c>
      <c r="Q142" s="132">
        <f t="shared" si="28"/>
        <v>227661.16723352126</v>
      </c>
      <c r="R142" s="132">
        <f t="shared" si="28"/>
        <v>211399.65528826974</v>
      </c>
      <c r="S142" s="132">
        <f t="shared" si="28"/>
        <v>195138.14334301822</v>
      </c>
      <c r="T142" s="132">
        <f t="shared" si="28"/>
        <v>178876.6313977667</v>
      </c>
      <c r="U142" s="132">
        <f t="shared" si="28"/>
        <v>162615.11945251518</v>
      </c>
      <c r="V142" s="132">
        <f t="shared" si="28"/>
        <v>146353.60750726366</v>
      </c>
      <c r="W142" s="132">
        <f t="shared" si="28"/>
        <v>130092.09556201214</v>
      </c>
      <c r="X142" s="132">
        <f t="shared" si="28"/>
        <v>113830.58361676062</v>
      </c>
      <c r="Y142" s="132">
        <f t="shared" si="28"/>
        <v>97569.071671509097</v>
      </c>
      <c r="Z142" s="132">
        <f t="shared" si="28"/>
        <v>81307.559726257576</v>
      </c>
      <c r="AA142" s="132">
        <f t="shared" si="28"/>
        <v>65046.047781006055</v>
      </c>
      <c r="AB142" s="132">
        <f t="shared" si="28"/>
        <v>48784.535835754534</v>
      </c>
      <c r="AC142" s="132">
        <f t="shared" si="28"/>
        <v>32523.023890503013</v>
      </c>
      <c r="AD142" s="132">
        <f t="shared" si="28"/>
        <v>16261.511945251494</v>
      </c>
      <c r="AE142" s="9"/>
      <c r="AF142" s="9"/>
    </row>
    <row r="143" spans="1:32" x14ac:dyDescent="0.2">
      <c r="A143" s="75" t="s">
        <v>113</v>
      </c>
      <c r="B143" s="76" t="s">
        <v>49</v>
      </c>
      <c r="C143" s="132"/>
      <c r="D143" s="132"/>
      <c r="E143" s="132"/>
      <c r="F143" s="132">
        <f>SUM(F139:F141)</f>
        <v>26028.793865251522</v>
      </c>
      <c r="G143" s="132">
        <f>SUM(G139:G141)</f>
        <v>26028.793865251522</v>
      </c>
      <c r="H143" s="132">
        <f t="shared" ref="H143:AD143" si="29">SUM(H139:H141)</f>
        <v>26028.793865251522</v>
      </c>
      <c r="I143" s="132">
        <f t="shared" si="29"/>
        <v>26028.793865251522</v>
      </c>
      <c r="J143" s="132">
        <f t="shared" si="29"/>
        <v>26028.793865251522</v>
      </c>
      <c r="K143" s="132">
        <f t="shared" si="29"/>
        <v>16261.511945251519</v>
      </c>
      <c r="L143" s="132">
        <f t="shared" si="29"/>
        <v>16261.511945251519</v>
      </c>
      <c r="M143" s="132">
        <f t="shared" si="29"/>
        <v>16261.511945251519</v>
      </c>
      <c r="N143" s="132">
        <f t="shared" si="29"/>
        <v>16261.511945251519</v>
      </c>
      <c r="O143" s="132">
        <f t="shared" si="29"/>
        <v>16261.511945251519</v>
      </c>
      <c r="P143" s="132">
        <f t="shared" si="29"/>
        <v>16261.511945251519</v>
      </c>
      <c r="Q143" s="132">
        <f t="shared" si="29"/>
        <v>16261.511945251519</v>
      </c>
      <c r="R143" s="132">
        <f t="shared" si="29"/>
        <v>16261.511945251519</v>
      </c>
      <c r="S143" s="132">
        <f t="shared" si="29"/>
        <v>16261.511945251519</v>
      </c>
      <c r="T143" s="132">
        <f t="shared" si="29"/>
        <v>16261.511945251519</v>
      </c>
      <c r="U143" s="132">
        <f t="shared" si="29"/>
        <v>16261.511945251519</v>
      </c>
      <c r="V143" s="132">
        <f t="shared" si="29"/>
        <v>16261.511945251519</v>
      </c>
      <c r="W143" s="132">
        <f t="shared" si="29"/>
        <v>16261.511945251519</v>
      </c>
      <c r="X143" s="132">
        <f t="shared" si="29"/>
        <v>16261.511945251519</v>
      </c>
      <c r="Y143" s="132">
        <f t="shared" si="29"/>
        <v>16261.511945251519</v>
      </c>
      <c r="Z143" s="132">
        <f t="shared" si="29"/>
        <v>16261.511945251519</v>
      </c>
      <c r="AA143" s="132">
        <f t="shared" si="29"/>
        <v>16261.511945251519</v>
      </c>
      <c r="AB143" s="132">
        <f t="shared" si="29"/>
        <v>16261.511945251519</v>
      </c>
      <c r="AC143" s="132">
        <f t="shared" si="29"/>
        <v>16261.511945251519</v>
      </c>
      <c r="AD143" s="132">
        <f t="shared" si="29"/>
        <v>16261.511945251519</v>
      </c>
      <c r="AE143" s="9"/>
      <c r="AF143" s="9"/>
    </row>
    <row r="144" spans="1:32" x14ac:dyDescent="0.2">
      <c r="A144" s="75" t="s">
        <v>114</v>
      </c>
      <c r="B144" s="76" t="s">
        <v>49</v>
      </c>
      <c r="C144" s="132"/>
      <c r="D144" s="132"/>
      <c r="E144" s="132"/>
      <c r="F144" s="132">
        <f>F142-F143</f>
        <v>429345.41436603642</v>
      </c>
      <c r="G144" s="132">
        <f>G142-G143</f>
        <v>403316.62050078489</v>
      </c>
      <c r="H144" s="132">
        <f t="shared" ref="H144:AD144" si="30">H142-H143</f>
        <v>377287.82663553336</v>
      </c>
      <c r="I144" s="132">
        <f t="shared" si="30"/>
        <v>351259.03277028183</v>
      </c>
      <c r="J144" s="132">
        <f t="shared" si="30"/>
        <v>325230.2389050303</v>
      </c>
      <c r="K144" s="132">
        <f t="shared" si="30"/>
        <v>308968.72695977881</v>
      </c>
      <c r="L144" s="132">
        <f t="shared" si="30"/>
        <v>292707.21501452732</v>
      </c>
      <c r="M144" s="132">
        <f t="shared" si="30"/>
        <v>276445.70306927583</v>
      </c>
      <c r="N144" s="132">
        <f t="shared" si="30"/>
        <v>260184.19112402431</v>
      </c>
      <c r="O144" s="132">
        <f t="shared" si="30"/>
        <v>243922.67917877279</v>
      </c>
      <c r="P144" s="132">
        <f t="shared" si="30"/>
        <v>227661.16723352126</v>
      </c>
      <c r="Q144" s="132">
        <f t="shared" si="30"/>
        <v>211399.65528826974</v>
      </c>
      <c r="R144" s="132">
        <f t="shared" si="30"/>
        <v>195138.14334301822</v>
      </c>
      <c r="S144" s="132">
        <f t="shared" si="30"/>
        <v>178876.6313977667</v>
      </c>
      <c r="T144" s="132">
        <f t="shared" si="30"/>
        <v>162615.11945251518</v>
      </c>
      <c r="U144" s="132">
        <f t="shared" si="30"/>
        <v>146353.60750726366</v>
      </c>
      <c r="V144" s="132">
        <f t="shared" si="30"/>
        <v>130092.09556201214</v>
      </c>
      <c r="W144" s="132">
        <f t="shared" si="30"/>
        <v>113830.58361676062</v>
      </c>
      <c r="X144" s="132">
        <f t="shared" si="30"/>
        <v>97569.071671509097</v>
      </c>
      <c r="Y144" s="132">
        <f t="shared" si="30"/>
        <v>81307.559726257576</v>
      </c>
      <c r="Z144" s="132">
        <f t="shared" si="30"/>
        <v>65046.047781006055</v>
      </c>
      <c r="AA144" s="132">
        <f t="shared" si="30"/>
        <v>48784.535835754534</v>
      </c>
      <c r="AB144" s="132">
        <f t="shared" si="30"/>
        <v>32523.023890503013</v>
      </c>
      <c r="AC144" s="132">
        <f t="shared" si="30"/>
        <v>16261.511945251494</v>
      </c>
      <c r="AD144" s="132">
        <f t="shared" si="30"/>
        <v>-2.5465851649641991E-11</v>
      </c>
      <c r="AE144" s="9"/>
      <c r="AF144" s="9"/>
    </row>
    <row r="145" spans="1:32" x14ac:dyDescent="0.2">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row>
    <row r="146" spans="1:32" x14ac:dyDescent="0.2">
      <c r="A146" s="77" t="s">
        <v>115</v>
      </c>
      <c r="B146" s="1"/>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row>
    <row r="147" spans="1:32" x14ac:dyDescent="0.2">
      <c r="A147" s="78" t="s">
        <v>116</v>
      </c>
      <c r="B147" s="80" t="s">
        <v>45</v>
      </c>
      <c r="C147" s="81">
        <f>$C$87</f>
        <v>19048</v>
      </c>
      <c r="D147" s="81">
        <f>$C$87</f>
        <v>19048</v>
      </c>
      <c r="E147" s="81">
        <f t="shared" ref="E147:G147" si="31">$C$87</f>
        <v>19048</v>
      </c>
      <c r="F147" s="81">
        <f t="shared" si="31"/>
        <v>19048</v>
      </c>
      <c r="G147" s="81">
        <f t="shared" si="31"/>
        <v>19048</v>
      </c>
      <c r="H147" s="81">
        <f t="shared" ref="H147:AF147" si="32">$C$87</f>
        <v>19048</v>
      </c>
      <c r="I147" s="81">
        <f t="shared" si="32"/>
        <v>19048</v>
      </c>
      <c r="J147" s="81">
        <f t="shared" si="32"/>
        <v>19048</v>
      </c>
      <c r="K147" s="81">
        <f t="shared" si="32"/>
        <v>19048</v>
      </c>
      <c r="L147" s="81">
        <f t="shared" si="32"/>
        <v>19048</v>
      </c>
      <c r="M147" s="81">
        <f t="shared" si="32"/>
        <v>19048</v>
      </c>
      <c r="N147" s="81">
        <f t="shared" si="32"/>
        <v>19048</v>
      </c>
      <c r="O147" s="81">
        <f t="shared" si="32"/>
        <v>19048</v>
      </c>
      <c r="P147" s="81">
        <f t="shared" si="32"/>
        <v>19048</v>
      </c>
      <c r="Q147" s="81">
        <f t="shared" si="32"/>
        <v>19048</v>
      </c>
      <c r="R147" s="81">
        <f t="shared" si="32"/>
        <v>19048</v>
      </c>
      <c r="S147" s="81">
        <f t="shared" si="32"/>
        <v>19048</v>
      </c>
      <c r="T147" s="81">
        <f t="shared" si="32"/>
        <v>19048</v>
      </c>
      <c r="U147" s="81">
        <f t="shared" si="32"/>
        <v>19048</v>
      </c>
      <c r="V147" s="81">
        <f t="shared" si="32"/>
        <v>19048</v>
      </c>
      <c r="W147" s="81">
        <f t="shared" si="32"/>
        <v>19048</v>
      </c>
      <c r="X147" s="81">
        <f t="shared" si="32"/>
        <v>19048</v>
      </c>
      <c r="Y147" s="81">
        <f t="shared" si="32"/>
        <v>19048</v>
      </c>
      <c r="Z147" s="81">
        <f t="shared" si="32"/>
        <v>19048</v>
      </c>
      <c r="AA147" s="81">
        <f t="shared" si="32"/>
        <v>19048</v>
      </c>
      <c r="AB147" s="81">
        <f t="shared" si="32"/>
        <v>19048</v>
      </c>
      <c r="AC147" s="81">
        <f t="shared" si="32"/>
        <v>19048</v>
      </c>
      <c r="AD147" s="81">
        <f t="shared" si="32"/>
        <v>19048</v>
      </c>
      <c r="AE147" s="81">
        <f t="shared" si="32"/>
        <v>19048</v>
      </c>
      <c r="AF147" s="81">
        <f t="shared" si="32"/>
        <v>19048</v>
      </c>
    </row>
    <row r="148" spans="1:32" x14ac:dyDescent="0.2">
      <c r="A148" s="78" t="s">
        <v>117</v>
      </c>
      <c r="B148" s="80" t="s">
        <v>48</v>
      </c>
      <c r="C148" s="81">
        <f>$C$68/(1+$C$81)</f>
        <v>0.65454545454545443</v>
      </c>
      <c r="D148" s="81">
        <f>C148*(1+D69)</f>
        <v>0.69381818181818178</v>
      </c>
      <c r="E148" s="81">
        <f>D148*(1+E69)</f>
        <v>0.73544727272727273</v>
      </c>
      <c r="F148" s="81">
        <f>E148*(1+F69)</f>
        <v>0.77957410909090918</v>
      </c>
      <c r="G148" s="81">
        <f>F148*(1+G69)</f>
        <v>0.82634855563636378</v>
      </c>
      <c r="H148" s="81">
        <f>G148*(1+H69)</f>
        <v>0.8759294689745456</v>
      </c>
      <c r="I148" s="81">
        <f>H148*(1+I69)</f>
        <v>0.92848523711301834</v>
      </c>
      <c r="J148" s="81">
        <f>I148*(1+J69)</f>
        <v>0.98419435133979949</v>
      </c>
      <c r="K148" s="81">
        <f>J148*(1+K69)</f>
        <v>1.0334040689067896</v>
      </c>
      <c r="L148" s="81">
        <f>K148*(1+L69)</f>
        <v>1.0850742723521292</v>
      </c>
      <c r="M148" s="81">
        <f>L148*(1+M69)</f>
        <v>1.1393279859697356</v>
      </c>
      <c r="N148" s="81">
        <f>M148*(1+N69)</f>
        <v>1.1962943852682224</v>
      </c>
      <c r="O148" s="81">
        <f>N148*(1+O69)</f>
        <v>1.2561091045316335</v>
      </c>
      <c r="P148" s="81">
        <f>O148*(1+P69)</f>
        <v>1.3063534687128988</v>
      </c>
      <c r="Q148" s="81">
        <f>P148*(1+Q69)</f>
        <v>1.3586076074614148</v>
      </c>
      <c r="R148" s="81">
        <f>Q148*(1+R69)</f>
        <v>1.4129519117598714</v>
      </c>
      <c r="S148" s="81">
        <f>R148*(1+S69)</f>
        <v>1.4694699882302664</v>
      </c>
      <c r="T148" s="81">
        <f>S148*(1+T69)</f>
        <v>1.528248787759477</v>
      </c>
      <c r="U148" s="81">
        <f>T148*(1+U69)</f>
        <v>1.5740962513922614</v>
      </c>
      <c r="V148" s="81">
        <f>U148*(1+V69)</f>
        <v>1.6213191389340293</v>
      </c>
      <c r="W148" s="81">
        <f>V148*(1+W69)</f>
        <v>1.6699587131020504</v>
      </c>
      <c r="X148" s="81">
        <f>W148*(1+X69)</f>
        <v>1.7200574744951118</v>
      </c>
      <c r="Y148" s="81">
        <f>X148*(1+Y69)</f>
        <v>1.7716591987299652</v>
      </c>
      <c r="Z148" s="81">
        <f>Y148*(1+Z69)</f>
        <v>1.8248089746918643</v>
      </c>
      <c r="AA148" s="81">
        <f>Z148*(1+AA69)</f>
        <v>1.8795532439326204</v>
      </c>
      <c r="AB148" s="81">
        <f>AA148*(1+AB69)</f>
        <v>1.935939841250599</v>
      </c>
      <c r="AC148" s="81">
        <f>AB148*(1+AC69)</f>
        <v>1.994018036488117</v>
      </c>
      <c r="AD148" s="81">
        <f>AC148*(1+AD69)</f>
        <v>2.0538385775827606</v>
      </c>
      <c r="AE148" s="81">
        <f>AD148*(1+AE69)</f>
        <v>2.0538385775827606</v>
      </c>
      <c r="AF148" s="81">
        <f>AE148*(1+AF69)</f>
        <v>2.0538385775827606</v>
      </c>
    </row>
    <row r="149" spans="1:32" x14ac:dyDescent="0.2">
      <c r="A149" s="78" t="s">
        <v>118</v>
      </c>
      <c r="B149" s="80" t="s">
        <v>49</v>
      </c>
      <c r="C149" s="81">
        <f>C147*C148*12</f>
        <v>149613.38181818181</v>
      </c>
      <c r="D149" s="81">
        <f t="shared" ref="D149:AF149" si="33">D147*D148*12</f>
        <v>158590.18472727272</v>
      </c>
      <c r="E149" s="81">
        <f t="shared" si="33"/>
        <v>168105.59581090912</v>
      </c>
      <c r="F149" s="81">
        <f t="shared" si="33"/>
        <v>178191.93155956367</v>
      </c>
      <c r="G149" s="81">
        <f t="shared" si="33"/>
        <v>188883.44745313749</v>
      </c>
      <c r="H149" s="81">
        <f t="shared" si="33"/>
        <v>200216.45430032571</v>
      </c>
      <c r="I149" s="81">
        <f t="shared" si="33"/>
        <v>212229.44155834528</v>
      </c>
      <c r="J149" s="81">
        <f t="shared" si="33"/>
        <v>224963.20805184601</v>
      </c>
      <c r="K149" s="81">
        <f t="shared" si="33"/>
        <v>236211.36845443834</v>
      </c>
      <c r="L149" s="81">
        <f t="shared" si="33"/>
        <v>248021.93687716027</v>
      </c>
      <c r="M149" s="81">
        <f t="shared" si="33"/>
        <v>260423.03372101829</v>
      </c>
      <c r="N149" s="81">
        <f t="shared" si="33"/>
        <v>273444.18540706922</v>
      </c>
      <c r="O149" s="81">
        <f t="shared" si="33"/>
        <v>287116.39467742265</v>
      </c>
      <c r="P149" s="81">
        <f t="shared" si="33"/>
        <v>298601.05046451959</v>
      </c>
      <c r="Q149" s="81">
        <f t="shared" si="33"/>
        <v>310545.09248310036</v>
      </c>
      <c r="R149" s="81">
        <f t="shared" si="33"/>
        <v>322966.89618242439</v>
      </c>
      <c r="S149" s="81">
        <f t="shared" si="33"/>
        <v>335885.5720297214</v>
      </c>
      <c r="T149" s="81">
        <f t="shared" si="33"/>
        <v>349320.99491091026</v>
      </c>
      <c r="U149" s="81">
        <f t="shared" si="33"/>
        <v>359800.62475823757</v>
      </c>
      <c r="V149" s="81">
        <f t="shared" si="33"/>
        <v>370594.6435009847</v>
      </c>
      <c r="W149" s="81">
        <f t="shared" si="33"/>
        <v>381712.48280601425</v>
      </c>
      <c r="X149" s="81">
        <f t="shared" si="33"/>
        <v>393163.85729019472</v>
      </c>
      <c r="Y149" s="81">
        <f t="shared" si="33"/>
        <v>404958.77300890058</v>
      </c>
      <c r="Z149" s="81">
        <f t="shared" si="33"/>
        <v>417107.53619916755</v>
      </c>
      <c r="AA149" s="81">
        <f t="shared" si="33"/>
        <v>429620.76228514267</v>
      </c>
      <c r="AB149" s="81">
        <f t="shared" si="33"/>
        <v>442509.38515369693</v>
      </c>
      <c r="AC149" s="81">
        <f t="shared" si="33"/>
        <v>455784.66670830786</v>
      </c>
      <c r="AD149" s="81">
        <f t="shared" si="33"/>
        <v>469458.2067095571</v>
      </c>
      <c r="AE149" s="81">
        <f t="shared" si="33"/>
        <v>469458.2067095571</v>
      </c>
      <c r="AF149" s="81">
        <f t="shared" si="33"/>
        <v>469458.2067095571</v>
      </c>
    </row>
    <row r="150" spans="1:32" x14ac:dyDescent="0.2">
      <c r="A150" s="78" t="s">
        <v>119</v>
      </c>
      <c r="B150" s="80" t="s">
        <v>49</v>
      </c>
      <c r="C150" s="81">
        <f>C149*C70</f>
        <v>0</v>
      </c>
      <c r="D150" s="81">
        <f>D149*D70</f>
        <v>0</v>
      </c>
      <c r="E150" s="81">
        <f>E149*E70</f>
        <v>0</v>
      </c>
      <c r="F150" s="81">
        <f>F149*F70</f>
        <v>89095.965779781836</v>
      </c>
      <c r="G150" s="81">
        <f>G149*G70</f>
        <v>75553.378981254995</v>
      </c>
      <c r="H150" s="81">
        <f>H149*H70</f>
        <v>60064.936290097721</v>
      </c>
      <c r="I150" s="81">
        <f>I149*I70</f>
        <v>42445.888311669063</v>
      </c>
      <c r="J150" s="81">
        <f>J149*J70</f>
        <v>44992.641610369203</v>
      </c>
      <c r="K150" s="81">
        <f>K149*K70</f>
        <v>47242.273690887669</v>
      </c>
      <c r="L150" s="81">
        <f>L149*L70</f>
        <v>49604.387375432059</v>
      </c>
      <c r="M150" s="81">
        <f>M149*M70</f>
        <v>52084.606744203658</v>
      </c>
      <c r="N150" s="81">
        <f>N149*N70</f>
        <v>54688.837081413847</v>
      </c>
      <c r="O150" s="81">
        <f>O149*O70</f>
        <v>57423.27893548453</v>
      </c>
      <c r="P150" s="81">
        <f>P149*P70</f>
        <v>59720.210092903922</v>
      </c>
      <c r="Q150" s="81">
        <f>Q149*Q70</f>
        <v>62109.018496620076</v>
      </c>
      <c r="R150" s="81">
        <f>R149*R70</f>
        <v>64593.379236484878</v>
      </c>
      <c r="S150" s="81">
        <f>S149*S70</f>
        <v>67177.114405944289</v>
      </c>
      <c r="T150" s="81">
        <f>T149*T70</f>
        <v>69864.198982182061</v>
      </c>
      <c r="U150" s="81">
        <f>U149*U70</f>
        <v>71960.124951647522</v>
      </c>
      <c r="V150" s="81">
        <f>V149*V70</f>
        <v>74118.92870019695</v>
      </c>
      <c r="W150" s="81">
        <f>W149*W70</f>
        <v>76342.496561202846</v>
      </c>
      <c r="X150" s="81">
        <f>X149*X70</f>
        <v>78632.771458038944</v>
      </c>
      <c r="Y150" s="81">
        <f>Y149*Y70</f>
        <v>80991.754601780121</v>
      </c>
      <c r="Z150" s="81">
        <f>Z149*Z70</f>
        <v>83421.507239833518</v>
      </c>
      <c r="AA150" s="81">
        <f>AA149*AA70</f>
        <v>85924.15245702854</v>
      </c>
      <c r="AB150" s="81">
        <f>AB149*AB70</f>
        <v>88501.877030739386</v>
      </c>
      <c r="AC150" s="81">
        <f>AC149*AC70</f>
        <v>91156.933341661585</v>
      </c>
      <c r="AD150" s="81">
        <f>AD149*AD70</f>
        <v>93891.641341911425</v>
      </c>
      <c r="AE150" s="81">
        <f>AE149*AE70</f>
        <v>93891.641341911425</v>
      </c>
      <c r="AF150" s="81">
        <f>AF149*AF70</f>
        <v>93891.641341911425</v>
      </c>
    </row>
    <row r="151" spans="1:32" x14ac:dyDescent="0.2">
      <c r="A151" s="79" t="s">
        <v>120</v>
      </c>
      <c r="B151" s="82" t="s">
        <v>49</v>
      </c>
      <c r="C151" s="81"/>
      <c r="D151" s="81"/>
      <c r="E151" s="81"/>
      <c r="F151" s="81">
        <f t="shared" ref="F151:G151" si="34">F149-F150</f>
        <v>89095.965779781836</v>
      </c>
      <c r="G151" s="81">
        <f t="shared" si="34"/>
        <v>113330.06847188249</v>
      </c>
      <c r="H151" s="81">
        <f t="shared" ref="H151:AF151" si="35">H149-H150</f>
        <v>140151.518010228</v>
      </c>
      <c r="I151" s="81">
        <f t="shared" si="35"/>
        <v>169783.55324667622</v>
      </c>
      <c r="J151" s="81">
        <f t="shared" si="35"/>
        <v>179970.56644147681</v>
      </c>
      <c r="K151" s="81">
        <f t="shared" si="35"/>
        <v>188969.09476355067</v>
      </c>
      <c r="L151" s="81">
        <f t="shared" si="35"/>
        <v>198417.54950172821</v>
      </c>
      <c r="M151" s="81">
        <f t="shared" si="35"/>
        <v>208338.42697681463</v>
      </c>
      <c r="N151" s="81">
        <f t="shared" si="35"/>
        <v>218755.34832565539</v>
      </c>
      <c r="O151" s="81">
        <f t="shared" si="35"/>
        <v>229693.11574193812</v>
      </c>
      <c r="P151" s="81">
        <f t="shared" si="35"/>
        <v>238880.84037161566</v>
      </c>
      <c r="Q151" s="81">
        <f t="shared" si="35"/>
        <v>248436.0739864803</v>
      </c>
      <c r="R151" s="81">
        <f t="shared" si="35"/>
        <v>258373.51694593951</v>
      </c>
      <c r="S151" s="81">
        <f t="shared" si="35"/>
        <v>268708.4576237771</v>
      </c>
      <c r="T151" s="81">
        <f t="shared" si="35"/>
        <v>279456.79592872818</v>
      </c>
      <c r="U151" s="81">
        <f t="shared" si="35"/>
        <v>287840.49980659003</v>
      </c>
      <c r="V151" s="81">
        <f t="shared" si="35"/>
        <v>296475.71480078774</v>
      </c>
      <c r="W151" s="81">
        <f t="shared" si="35"/>
        <v>305369.98624481139</v>
      </c>
      <c r="X151" s="81">
        <f t="shared" si="35"/>
        <v>314531.08583215578</v>
      </c>
      <c r="Y151" s="81">
        <f t="shared" si="35"/>
        <v>323967.01840712049</v>
      </c>
      <c r="Z151" s="81">
        <f t="shared" si="35"/>
        <v>333686.02895933401</v>
      </c>
      <c r="AA151" s="81">
        <f t="shared" si="35"/>
        <v>343696.60982811416</v>
      </c>
      <c r="AB151" s="81">
        <f t="shared" si="35"/>
        <v>354007.50812295754</v>
      </c>
      <c r="AC151" s="81">
        <f t="shared" si="35"/>
        <v>364627.73336664628</v>
      </c>
      <c r="AD151" s="81">
        <f t="shared" si="35"/>
        <v>375566.5653676457</v>
      </c>
      <c r="AE151" s="81">
        <f t="shared" si="35"/>
        <v>375566.5653676457</v>
      </c>
      <c r="AF151" s="81">
        <f t="shared" si="35"/>
        <v>375566.5653676457</v>
      </c>
    </row>
    <row r="152" spans="1:32" x14ac:dyDescent="0.2">
      <c r="A152" s="1"/>
      <c r="B152" s="1"/>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row>
    <row r="153" spans="1:32" x14ac:dyDescent="0.2">
      <c r="A153" s="77" t="s">
        <v>121</v>
      </c>
      <c r="B153" s="1"/>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row>
    <row r="154" spans="1:32" x14ac:dyDescent="0.2">
      <c r="A154" s="78" t="s">
        <v>71</v>
      </c>
      <c r="B154" s="80" t="s">
        <v>49</v>
      </c>
      <c r="C154" s="81"/>
      <c r="D154" s="81"/>
      <c r="E154" s="81"/>
      <c r="F154" s="81">
        <f>F151*$C$73</f>
        <v>13364.394866967275</v>
      </c>
      <c r="G154" s="81">
        <f>G151*$C$73</f>
        <v>16999.510270782372</v>
      </c>
      <c r="H154" s="81">
        <f t="shared" ref="H154:AF154" si="36">H151*$C$73</f>
        <v>21022.727701534201</v>
      </c>
      <c r="I154" s="81">
        <f t="shared" si="36"/>
        <v>25467.532987001432</v>
      </c>
      <c r="J154" s="81">
        <f t="shared" si="36"/>
        <v>26995.584966221522</v>
      </c>
      <c r="K154" s="81">
        <f t="shared" si="36"/>
        <v>28345.364214532601</v>
      </c>
      <c r="L154" s="81">
        <f t="shared" si="36"/>
        <v>29762.632425259231</v>
      </c>
      <c r="M154" s="81">
        <f t="shared" si="36"/>
        <v>31250.764046522192</v>
      </c>
      <c r="N154" s="81">
        <f t="shared" si="36"/>
        <v>32813.302248848304</v>
      </c>
      <c r="O154" s="81">
        <f t="shared" si="36"/>
        <v>34453.967361290714</v>
      </c>
      <c r="P154" s="81">
        <f t="shared" si="36"/>
        <v>35832.126055742345</v>
      </c>
      <c r="Q154" s="81">
        <f t="shared" si="36"/>
        <v>37265.411097972043</v>
      </c>
      <c r="R154" s="81">
        <f t="shared" si="36"/>
        <v>38756.027541890922</v>
      </c>
      <c r="S154" s="81">
        <f t="shared" si="36"/>
        <v>40306.26864356656</v>
      </c>
      <c r="T154" s="81">
        <f t="shared" si="36"/>
        <v>41918.519389309229</v>
      </c>
      <c r="U154" s="81">
        <f t="shared" si="36"/>
        <v>43176.074970988506</v>
      </c>
      <c r="V154" s="81">
        <f t="shared" si="36"/>
        <v>44471.35722011816</v>
      </c>
      <c r="W154" s="81">
        <f t="shared" si="36"/>
        <v>45805.497936721709</v>
      </c>
      <c r="X154" s="81">
        <f t="shared" si="36"/>
        <v>47179.662874823363</v>
      </c>
      <c r="Y154" s="81">
        <f t="shared" si="36"/>
        <v>48595.052761068073</v>
      </c>
      <c r="Z154" s="81">
        <f t="shared" si="36"/>
        <v>50052.904343900103</v>
      </c>
      <c r="AA154" s="81">
        <f t="shared" si="36"/>
        <v>51554.491474217124</v>
      </c>
      <c r="AB154" s="81">
        <f t="shared" si="36"/>
        <v>53101.126218443627</v>
      </c>
      <c r="AC154" s="81">
        <f t="shared" si="36"/>
        <v>54694.160004996942</v>
      </c>
      <c r="AD154" s="81">
        <f t="shared" si="36"/>
        <v>56334.984805146851</v>
      </c>
      <c r="AE154" s="81">
        <f t="shared" si="36"/>
        <v>56334.984805146851</v>
      </c>
      <c r="AF154" s="81">
        <f t="shared" si="36"/>
        <v>56334.984805146851</v>
      </c>
    </row>
    <row r="155" spans="1:32" x14ac:dyDescent="0.2">
      <c r="A155" s="78" t="s">
        <v>122</v>
      </c>
      <c r="B155" s="80" t="s">
        <v>49</v>
      </c>
      <c r="C155" s="81"/>
      <c r="D155" s="81"/>
      <c r="E155" s="81"/>
      <c r="F155" s="81">
        <f>F151*$C$74</f>
        <v>4454.7982889890918</v>
      </c>
      <c r="G155" s="81">
        <f>G151*$C$74</f>
        <v>5666.5034235941248</v>
      </c>
      <c r="H155" s="81">
        <f t="shared" ref="H155:AF155" si="37">H151*$C$74</f>
        <v>7007.5759005114005</v>
      </c>
      <c r="I155" s="81">
        <f t="shared" si="37"/>
        <v>8489.1776623338119</v>
      </c>
      <c r="J155" s="81">
        <f t="shared" si="37"/>
        <v>8998.5283220738402</v>
      </c>
      <c r="K155" s="81">
        <f t="shared" si="37"/>
        <v>9448.4547381775337</v>
      </c>
      <c r="L155" s="81">
        <f t="shared" si="37"/>
        <v>9920.8774750864104</v>
      </c>
      <c r="M155" s="81">
        <f t="shared" si="37"/>
        <v>10416.921348840733</v>
      </c>
      <c r="N155" s="81">
        <f t="shared" si="37"/>
        <v>10937.76741628277</v>
      </c>
      <c r="O155" s="81">
        <f t="shared" si="37"/>
        <v>11484.655787096906</v>
      </c>
      <c r="P155" s="81">
        <f t="shared" si="37"/>
        <v>11944.042018580783</v>
      </c>
      <c r="Q155" s="81">
        <f t="shared" si="37"/>
        <v>12421.803699324017</v>
      </c>
      <c r="R155" s="81">
        <f t="shared" si="37"/>
        <v>12918.675847296976</v>
      </c>
      <c r="S155" s="81">
        <f t="shared" si="37"/>
        <v>13435.422881188855</v>
      </c>
      <c r="T155" s="81">
        <f t="shared" si="37"/>
        <v>13972.83979643641</v>
      </c>
      <c r="U155" s="81">
        <f t="shared" si="37"/>
        <v>14392.024990329503</v>
      </c>
      <c r="V155" s="81">
        <f t="shared" si="37"/>
        <v>14823.785740039388</v>
      </c>
      <c r="W155" s="81">
        <f t="shared" si="37"/>
        <v>15268.49931224057</v>
      </c>
      <c r="X155" s="81">
        <f t="shared" si="37"/>
        <v>15726.55429160779</v>
      </c>
      <c r="Y155" s="81">
        <f t="shared" si="37"/>
        <v>16198.350920356024</v>
      </c>
      <c r="Z155" s="81">
        <f t="shared" si="37"/>
        <v>16684.3014479667</v>
      </c>
      <c r="AA155" s="81">
        <f t="shared" si="37"/>
        <v>17184.830491405708</v>
      </c>
      <c r="AB155" s="81">
        <f t="shared" si="37"/>
        <v>17700.375406147879</v>
      </c>
      <c r="AC155" s="81">
        <f t="shared" si="37"/>
        <v>18231.386668332314</v>
      </c>
      <c r="AD155" s="81">
        <f t="shared" si="37"/>
        <v>18778.328268382287</v>
      </c>
      <c r="AE155" s="81">
        <f t="shared" si="37"/>
        <v>18778.328268382287</v>
      </c>
      <c r="AF155" s="81">
        <f t="shared" si="37"/>
        <v>18778.328268382287</v>
      </c>
    </row>
    <row r="156" spans="1:32" x14ac:dyDescent="0.2">
      <c r="A156" s="78" t="s">
        <v>123</v>
      </c>
      <c r="B156" s="80" t="s">
        <v>49</v>
      </c>
      <c r="C156" s="81"/>
      <c r="D156" s="81"/>
      <c r="E156" s="81"/>
      <c r="F156" s="81">
        <f>SUM($C$115:$E$118)/3</f>
        <v>15132.912432000003</v>
      </c>
      <c r="G156" s="81">
        <f t="shared" ref="G156:H156" si="38">SUM($C$115:$E$118)/3</f>
        <v>15132.912432000003</v>
      </c>
      <c r="H156" s="81">
        <f t="shared" si="38"/>
        <v>15132.912432000003</v>
      </c>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row>
    <row r="157" spans="1:32" s="5" customFormat="1" x14ac:dyDescent="0.2">
      <c r="A157" s="79" t="s">
        <v>151</v>
      </c>
      <c r="B157" s="82" t="s">
        <v>49</v>
      </c>
      <c r="C157" s="133"/>
      <c r="D157" s="133"/>
      <c r="E157" s="133"/>
      <c r="F157" s="133">
        <f>SUM(F154:F156)</f>
        <v>32952.105587956372</v>
      </c>
      <c r="G157" s="133">
        <f t="shared" ref="G157:AF157" si="39">SUM(G154:G156)</f>
        <v>37798.9261263765</v>
      </c>
      <c r="H157" s="133">
        <f t="shared" si="39"/>
        <v>43163.216034045603</v>
      </c>
      <c r="I157" s="133">
        <f t="shared" si="39"/>
        <v>33956.710649335248</v>
      </c>
      <c r="J157" s="133">
        <f t="shared" si="39"/>
        <v>35994.113288295361</v>
      </c>
      <c r="K157" s="133">
        <f t="shared" si="39"/>
        <v>37793.818952710135</v>
      </c>
      <c r="L157" s="133">
        <f t="shared" si="39"/>
        <v>39683.509900345642</v>
      </c>
      <c r="M157" s="133">
        <f t="shared" si="39"/>
        <v>41667.685395362925</v>
      </c>
      <c r="N157" s="133">
        <f t="shared" si="39"/>
        <v>43751.069665131072</v>
      </c>
      <c r="O157" s="133">
        <f t="shared" si="39"/>
        <v>45938.623148387618</v>
      </c>
      <c r="P157" s="133">
        <f t="shared" si="39"/>
        <v>47776.168074323126</v>
      </c>
      <c r="Q157" s="133">
        <f t="shared" si="39"/>
        <v>49687.214797296059</v>
      </c>
      <c r="R157" s="133">
        <f t="shared" si="39"/>
        <v>51674.703389187896</v>
      </c>
      <c r="S157" s="133">
        <f t="shared" si="39"/>
        <v>53741.691524755413</v>
      </c>
      <c r="T157" s="133">
        <f t="shared" si="39"/>
        <v>55891.359185745641</v>
      </c>
      <c r="U157" s="133">
        <f t="shared" si="39"/>
        <v>57568.09996131801</v>
      </c>
      <c r="V157" s="133">
        <f t="shared" si="39"/>
        <v>59295.142960157551</v>
      </c>
      <c r="W157" s="133">
        <f t="shared" si="39"/>
        <v>61073.997248962281</v>
      </c>
      <c r="X157" s="133">
        <f t="shared" si="39"/>
        <v>62906.217166431154</v>
      </c>
      <c r="Y157" s="133">
        <f t="shared" si="39"/>
        <v>64793.403681424097</v>
      </c>
      <c r="Z157" s="133">
        <f t="shared" si="39"/>
        <v>66737.2057918668</v>
      </c>
      <c r="AA157" s="133">
        <f t="shared" si="39"/>
        <v>68739.321965622832</v>
      </c>
      <c r="AB157" s="133">
        <f t="shared" si="39"/>
        <v>70801.501624591503</v>
      </c>
      <c r="AC157" s="133">
        <f t="shared" si="39"/>
        <v>72925.546673329256</v>
      </c>
      <c r="AD157" s="133">
        <f t="shared" si="39"/>
        <v>75113.313073529134</v>
      </c>
      <c r="AE157" s="133">
        <f t="shared" si="39"/>
        <v>75113.313073529134</v>
      </c>
      <c r="AF157" s="133">
        <f t="shared" si="39"/>
        <v>75113.313073529134</v>
      </c>
    </row>
    <row r="158" spans="1:32" s="5" customFormat="1" x14ac:dyDescent="0.2">
      <c r="A158" s="79" t="s">
        <v>124</v>
      </c>
      <c r="B158" s="82" t="s">
        <v>49</v>
      </c>
      <c r="C158" s="133"/>
      <c r="D158" s="133"/>
      <c r="E158" s="133"/>
      <c r="F158" s="133">
        <f>F151-F157</f>
        <v>56143.860191825464</v>
      </c>
      <c r="G158" s="133">
        <f>G151-G157</f>
        <v>75531.142345505999</v>
      </c>
      <c r="H158" s="133">
        <f>H151-H157</f>
        <v>96988.301976182396</v>
      </c>
      <c r="I158" s="133">
        <f>I151-I157</f>
        <v>135826.84259734099</v>
      </c>
      <c r="J158" s="133">
        <f>J151-J157</f>
        <v>143976.45315318144</v>
      </c>
      <c r="K158" s="133">
        <f>K151-K157</f>
        <v>151175.27581084054</v>
      </c>
      <c r="L158" s="133">
        <f>L151-L157</f>
        <v>158734.03960138257</v>
      </c>
      <c r="M158" s="133">
        <f>M151-M157</f>
        <v>166670.7415814517</v>
      </c>
      <c r="N158" s="133">
        <f>N151-N157</f>
        <v>175004.27866052432</v>
      </c>
      <c r="O158" s="133">
        <f>O151-O157</f>
        <v>183754.4925935505</v>
      </c>
      <c r="P158" s="133">
        <f>P151-P157</f>
        <v>191104.67229729253</v>
      </c>
      <c r="Q158" s="133">
        <f>Q151-Q157</f>
        <v>198748.85918918424</v>
      </c>
      <c r="R158" s="133">
        <f>R151-R157</f>
        <v>206698.81355675161</v>
      </c>
      <c r="S158" s="133">
        <f>S151-S157</f>
        <v>214966.76609902168</v>
      </c>
      <c r="T158" s="133">
        <f>T151-T157</f>
        <v>223565.43674298254</v>
      </c>
      <c r="U158" s="133">
        <f>U151-U157</f>
        <v>230272.39984527201</v>
      </c>
      <c r="V158" s="133">
        <f>V151-V157</f>
        <v>237180.5718406302</v>
      </c>
      <c r="W158" s="133">
        <f>W151-W157</f>
        <v>244295.9889958491</v>
      </c>
      <c r="X158" s="133">
        <f>X151-X157</f>
        <v>251624.86866572461</v>
      </c>
      <c r="Y158" s="133">
        <f>Y151-Y157</f>
        <v>259173.61472569639</v>
      </c>
      <c r="Z158" s="133">
        <f>Z151-Z157</f>
        <v>266948.8231674672</v>
      </c>
      <c r="AA158" s="133">
        <f>AA151-AA157</f>
        <v>274957.28786249133</v>
      </c>
      <c r="AB158" s="133">
        <f>AB151-AB157</f>
        <v>283206.00649836601</v>
      </c>
      <c r="AC158" s="133">
        <f>AC151-AC157</f>
        <v>291702.18669331702</v>
      </c>
      <c r="AD158" s="133">
        <f>AD151-AD157</f>
        <v>300453.25229411654</v>
      </c>
      <c r="AE158" s="133">
        <f>AE151-AE157</f>
        <v>300453.25229411654</v>
      </c>
      <c r="AF158" s="133">
        <f>AF151-AF157</f>
        <v>300453.25229411654</v>
      </c>
    </row>
    <row r="159" spans="1:32" x14ac:dyDescent="0.2">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row>
    <row r="160" spans="1:32" x14ac:dyDescent="0.2">
      <c r="A160" s="78" t="s">
        <v>128</v>
      </c>
      <c r="B160" s="80" t="s">
        <v>49</v>
      </c>
      <c r="C160" s="81"/>
      <c r="D160" s="81"/>
      <c r="E160" s="81"/>
      <c r="F160" s="81">
        <f>$C$75*F158</f>
        <v>28071.930095912732</v>
      </c>
      <c r="G160" s="81">
        <f>$C$75*G158</f>
        <v>37765.571172753</v>
      </c>
      <c r="H160" s="81">
        <f>$C$75*H158</f>
        <v>48494.150988091198</v>
      </c>
      <c r="I160" s="81">
        <f>$C$75*I158</f>
        <v>67913.421298670495</v>
      </c>
      <c r="J160" s="81">
        <f>$C$75*J158</f>
        <v>71988.226576590721</v>
      </c>
      <c r="K160" s="81">
        <f>$C$75*K158</f>
        <v>75587.63790542027</v>
      </c>
      <c r="L160" s="81">
        <f>$C$75*L158</f>
        <v>79367.019800691283</v>
      </c>
      <c r="M160" s="81">
        <f>$C$75*M158</f>
        <v>83335.37079072585</v>
      </c>
      <c r="N160" s="81">
        <f>$C$75*N158</f>
        <v>87502.139330262158</v>
      </c>
      <c r="O160" s="81">
        <f>$C$75*O158</f>
        <v>91877.246296775251</v>
      </c>
      <c r="P160" s="81">
        <f>$C$75*P158</f>
        <v>95552.336148646267</v>
      </c>
      <c r="Q160" s="81">
        <f>$C$75*Q158</f>
        <v>99374.429594592119</v>
      </c>
      <c r="R160" s="81">
        <f>$C$75*R158</f>
        <v>103349.40677837581</v>
      </c>
      <c r="S160" s="81">
        <f>$C$75*S158</f>
        <v>107483.38304951084</v>
      </c>
      <c r="T160" s="81">
        <f>$C$75*T158</f>
        <v>111782.71837149127</v>
      </c>
      <c r="U160" s="81">
        <f>$C$75*U158</f>
        <v>115136.19992263601</v>
      </c>
      <c r="V160" s="81">
        <f>$C$75*V158</f>
        <v>118590.2859203151</v>
      </c>
      <c r="W160" s="81">
        <f>$C$75*W158</f>
        <v>122147.99449792455</v>
      </c>
      <c r="X160" s="81">
        <f>$C$75*X158</f>
        <v>125812.43433286231</v>
      </c>
      <c r="Y160" s="81">
        <f>$C$75*Y158</f>
        <v>129586.80736284819</v>
      </c>
      <c r="Z160" s="81">
        <f>$C$75*Z158</f>
        <v>133474.4115837336</v>
      </c>
      <c r="AA160" s="81">
        <f>$C$75*AA158</f>
        <v>137478.64393124566</v>
      </c>
      <c r="AB160" s="81">
        <f>$C$75*AB158</f>
        <v>141603.00324918301</v>
      </c>
      <c r="AC160" s="81">
        <f>$C$75*AC158</f>
        <v>145851.09334665851</v>
      </c>
      <c r="AD160" s="81">
        <f>$C$75*AD158</f>
        <v>150226.62614705827</v>
      </c>
      <c r="AE160" s="81">
        <f>$C$75*AE158</f>
        <v>150226.62614705827</v>
      </c>
      <c r="AF160" s="81">
        <f>$C$75*AF158</f>
        <v>150226.62614705827</v>
      </c>
    </row>
    <row r="161" spans="1:32" x14ac:dyDescent="0.2">
      <c r="A161" s="78" t="s">
        <v>129</v>
      </c>
      <c r="B161" s="80" t="s">
        <v>49</v>
      </c>
      <c r="C161" s="81"/>
      <c r="D161" s="81"/>
      <c r="E161" s="81"/>
      <c r="F161" s="81">
        <f>$C$76*F158</f>
        <v>2807.1930095912735</v>
      </c>
      <c r="G161" s="81">
        <f>$C$76*G158</f>
        <v>3776.5571172753002</v>
      </c>
      <c r="H161" s="81">
        <f>$C$76*H158</f>
        <v>4849.4150988091196</v>
      </c>
      <c r="I161" s="81">
        <f>$C$76*I158</f>
        <v>6791.3421298670501</v>
      </c>
      <c r="J161" s="81">
        <f>$C$76*J158</f>
        <v>7198.8226576590723</v>
      </c>
      <c r="K161" s="81">
        <f>$C$76*K158</f>
        <v>7558.763790542027</v>
      </c>
      <c r="L161" s="81">
        <f>$C$76*L158</f>
        <v>7936.7019800691287</v>
      </c>
      <c r="M161" s="81">
        <f>$C$76*M158</f>
        <v>8333.5370790725847</v>
      </c>
      <c r="N161" s="81">
        <f>$C$76*N158</f>
        <v>8750.2139330262162</v>
      </c>
      <c r="O161" s="81">
        <f>$C$76*O158</f>
        <v>9187.7246296775247</v>
      </c>
      <c r="P161" s="81">
        <f>$C$76*P158</f>
        <v>9555.2336148646264</v>
      </c>
      <c r="Q161" s="81">
        <f>$C$76*Q158</f>
        <v>9937.4429594592129</v>
      </c>
      <c r="R161" s="81">
        <f>$C$76*R158</f>
        <v>10334.940677837581</v>
      </c>
      <c r="S161" s="81">
        <f>$C$76*S158</f>
        <v>10748.338304951085</v>
      </c>
      <c r="T161" s="81">
        <f>$C$76*T158</f>
        <v>11178.271837149128</v>
      </c>
      <c r="U161" s="81">
        <f>$C$76*U158</f>
        <v>11513.619992263601</v>
      </c>
      <c r="V161" s="81">
        <f>$C$76*V158</f>
        <v>11859.028592031511</v>
      </c>
      <c r="W161" s="81">
        <f>$C$76*W158</f>
        <v>12214.799449792456</v>
      </c>
      <c r="X161" s="81">
        <f>$C$76*X158</f>
        <v>12581.243433286232</v>
      </c>
      <c r="Y161" s="81">
        <f>$C$76*Y158</f>
        <v>12958.680736284819</v>
      </c>
      <c r="Z161" s="81">
        <f>$C$76*Z158</f>
        <v>13347.44115837336</v>
      </c>
      <c r="AA161" s="81">
        <f>$C$76*AA158</f>
        <v>13747.864393124568</v>
      </c>
      <c r="AB161" s="81">
        <f>$C$76*AB158</f>
        <v>14160.300324918302</v>
      </c>
      <c r="AC161" s="81">
        <f>$C$76*AC158</f>
        <v>14585.109334665853</v>
      </c>
      <c r="AD161" s="81">
        <f>$C$76*AD158</f>
        <v>15022.662614705827</v>
      </c>
      <c r="AE161" s="81">
        <f>$C$76*AE158</f>
        <v>15022.662614705827</v>
      </c>
      <c r="AF161" s="81">
        <f>$C$76*AF158</f>
        <v>15022.662614705827</v>
      </c>
    </row>
    <row r="162" spans="1:32" x14ac:dyDescent="0.2">
      <c r="A162" s="78" t="s">
        <v>130</v>
      </c>
      <c r="B162" s="80"/>
      <c r="C162" s="81"/>
      <c r="D162" s="81"/>
      <c r="E162" s="81"/>
      <c r="F162" s="81">
        <f>$C$4*$C$5</f>
        <v>4000</v>
      </c>
      <c r="G162" s="81">
        <f t="shared" ref="G162:AF162" si="40">$C$4*$C$5</f>
        <v>4000</v>
      </c>
      <c r="H162" s="81">
        <f t="shared" si="40"/>
        <v>4000</v>
      </c>
      <c r="I162" s="81">
        <f t="shared" si="40"/>
        <v>4000</v>
      </c>
      <c r="J162" s="81">
        <f t="shared" si="40"/>
        <v>4000</v>
      </c>
      <c r="K162" s="81">
        <f t="shared" si="40"/>
        <v>4000</v>
      </c>
      <c r="L162" s="81">
        <f t="shared" si="40"/>
        <v>4000</v>
      </c>
      <c r="M162" s="81">
        <f t="shared" si="40"/>
        <v>4000</v>
      </c>
      <c r="N162" s="81">
        <f t="shared" si="40"/>
        <v>4000</v>
      </c>
      <c r="O162" s="81">
        <f t="shared" si="40"/>
        <v>4000</v>
      </c>
      <c r="P162" s="81">
        <f t="shared" si="40"/>
        <v>4000</v>
      </c>
      <c r="Q162" s="81">
        <f t="shared" si="40"/>
        <v>4000</v>
      </c>
      <c r="R162" s="81">
        <f t="shared" si="40"/>
        <v>4000</v>
      </c>
      <c r="S162" s="81">
        <f t="shared" si="40"/>
        <v>4000</v>
      </c>
      <c r="T162" s="81">
        <f t="shared" si="40"/>
        <v>4000</v>
      </c>
      <c r="U162" s="81">
        <f t="shared" si="40"/>
        <v>4000</v>
      </c>
      <c r="V162" s="81">
        <f t="shared" si="40"/>
        <v>4000</v>
      </c>
      <c r="W162" s="81">
        <f t="shared" si="40"/>
        <v>4000</v>
      </c>
      <c r="X162" s="81">
        <f t="shared" si="40"/>
        <v>4000</v>
      </c>
      <c r="Y162" s="81">
        <f t="shared" si="40"/>
        <v>4000</v>
      </c>
      <c r="Z162" s="81">
        <f t="shared" si="40"/>
        <v>4000</v>
      </c>
      <c r="AA162" s="81">
        <f t="shared" si="40"/>
        <v>4000</v>
      </c>
      <c r="AB162" s="81">
        <f t="shared" si="40"/>
        <v>4000</v>
      </c>
      <c r="AC162" s="81">
        <f t="shared" si="40"/>
        <v>4000</v>
      </c>
      <c r="AD162" s="81">
        <f t="shared" si="40"/>
        <v>4000</v>
      </c>
      <c r="AE162" s="81">
        <f t="shared" si="40"/>
        <v>4000</v>
      </c>
      <c r="AF162" s="81">
        <f t="shared" si="40"/>
        <v>4000</v>
      </c>
    </row>
    <row r="163" spans="1:32" x14ac:dyDescent="0.2">
      <c r="A163" s="79" t="s">
        <v>131</v>
      </c>
      <c r="B163" s="82"/>
      <c r="C163" s="81"/>
      <c r="D163" s="81"/>
      <c r="E163" s="81"/>
      <c r="F163" s="81">
        <f>F157+SUM(F160:F162)</f>
        <v>67831.228693460376</v>
      </c>
      <c r="G163" s="81">
        <f>G157+SUM(G160:G162)</f>
        <v>83341.054416404804</v>
      </c>
      <c r="H163" s="81">
        <f>H157+SUM(H160:H162)</f>
        <v>100506.78212094592</v>
      </c>
      <c r="I163" s="81">
        <f>I157+SUM(I160:I162)</f>
        <v>112661.47407787279</v>
      </c>
      <c r="J163" s="81">
        <f>J157+SUM(J160:J162)</f>
        <v>119181.16252254514</v>
      </c>
      <c r="K163" s="81">
        <f>K157+SUM(K160:K162)</f>
        <v>124940.22064867243</v>
      </c>
      <c r="L163" s="81">
        <f>L157+SUM(L160:L162)</f>
        <v>130987.23168110606</v>
      </c>
      <c r="M163" s="81">
        <f>M157+SUM(M160:M162)</f>
        <v>137336.59326516135</v>
      </c>
      <c r="N163" s="81">
        <f>N157+SUM(N160:N162)</f>
        <v>144003.42292841943</v>
      </c>
      <c r="O163" s="81">
        <f>O157+SUM(O160:O162)</f>
        <v>151003.5940748404</v>
      </c>
      <c r="P163" s="81">
        <f>P157+SUM(P160:P162)</f>
        <v>156883.73783783402</v>
      </c>
      <c r="Q163" s="81">
        <f>Q157+SUM(Q160:Q162)</f>
        <v>162999.08735134738</v>
      </c>
      <c r="R163" s="81">
        <f>R157+SUM(R160:R162)</f>
        <v>169359.0508454013</v>
      </c>
      <c r="S163" s="81">
        <f>S157+SUM(S160:S162)</f>
        <v>175973.41287921736</v>
      </c>
      <c r="T163" s="81">
        <f>T157+SUM(T160:T162)</f>
        <v>182852.34939438605</v>
      </c>
      <c r="U163" s="81">
        <f>U157+SUM(U160:U162)</f>
        <v>188217.91987621761</v>
      </c>
      <c r="V163" s="81">
        <f>V157+SUM(V160:V162)</f>
        <v>193744.45747250417</v>
      </c>
      <c r="W163" s="81">
        <f>W157+SUM(W160:W162)</f>
        <v>199436.79119667929</v>
      </c>
      <c r="X163" s="81">
        <f>X157+SUM(X160:X162)</f>
        <v>205299.89493257969</v>
      </c>
      <c r="Y163" s="81">
        <f>Y157+SUM(Y160:Y162)</f>
        <v>211338.89178055711</v>
      </c>
      <c r="Z163" s="81">
        <f>Z157+SUM(Z160:Z162)</f>
        <v>217559.05853397376</v>
      </c>
      <c r="AA163" s="81">
        <f>AA157+SUM(AA160:AA162)</f>
        <v>223965.83028999306</v>
      </c>
      <c r="AB163" s="81">
        <f>AB157+SUM(AB160:AB162)</f>
        <v>230564.8051986928</v>
      </c>
      <c r="AC163" s="81">
        <f>AC157+SUM(AC160:AC162)</f>
        <v>237361.74935465361</v>
      </c>
      <c r="AD163" s="81">
        <f>AD157+SUM(AD160:AD162)</f>
        <v>244362.60183529323</v>
      </c>
      <c r="AE163" s="81">
        <f>AE157+SUM(AE160:AE162)</f>
        <v>244362.60183529323</v>
      </c>
      <c r="AF163" s="81">
        <f>AF157+SUM(AF160:AF162)</f>
        <v>244362.60183529323</v>
      </c>
    </row>
    <row r="164" spans="1:32" x14ac:dyDescent="0.2">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row>
    <row r="165" spans="1:32" x14ac:dyDescent="0.2">
      <c r="A165" s="1"/>
      <c r="B165" s="1"/>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row>
    <row r="166" spans="1:32" x14ac:dyDescent="0.2">
      <c r="A166" s="77" t="s">
        <v>132</v>
      </c>
      <c r="B166" s="1"/>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row>
    <row r="167" spans="1:32" x14ac:dyDescent="0.2">
      <c r="A167" s="78" t="s">
        <v>120</v>
      </c>
      <c r="B167" s="80" t="s">
        <v>49</v>
      </c>
      <c r="C167" s="81"/>
      <c r="D167" s="81"/>
      <c r="E167" s="81"/>
      <c r="F167" s="81">
        <f>F151</f>
        <v>89095.965779781836</v>
      </c>
      <c r="G167" s="81">
        <f t="shared" ref="G167:AF167" si="41">G151</f>
        <v>113330.06847188249</v>
      </c>
      <c r="H167" s="81">
        <f t="shared" si="41"/>
        <v>140151.518010228</v>
      </c>
      <c r="I167" s="81">
        <f t="shared" si="41"/>
        <v>169783.55324667622</v>
      </c>
      <c r="J167" s="81">
        <f t="shared" si="41"/>
        <v>179970.56644147681</v>
      </c>
      <c r="K167" s="81">
        <f t="shared" si="41"/>
        <v>188969.09476355067</v>
      </c>
      <c r="L167" s="81">
        <f t="shared" si="41"/>
        <v>198417.54950172821</v>
      </c>
      <c r="M167" s="81">
        <f t="shared" si="41"/>
        <v>208338.42697681463</v>
      </c>
      <c r="N167" s="81">
        <f t="shared" si="41"/>
        <v>218755.34832565539</v>
      </c>
      <c r="O167" s="81">
        <f t="shared" si="41"/>
        <v>229693.11574193812</v>
      </c>
      <c r="P167" s="81">
        <f t="shared" si="41"/>
        <v>238880.84037161566</v>
      </c>
      <c r="Q167" s="81">
        <f t="shared" si="41"/>
        <v>248436.0739864803</v>
      </c>
      <c r="R167" s="81">
        <f t="shared" si="41"/>
        <v>258373.51694593951</v>
      </c>
      <c r="S167" s="81">
        <f t="shared" si="41"/>
        <v>268708.4576237771</v>
      </c>
      <c r="T167" s="81">
        <f t="shared" si="41"/>
        <v>279456.79592872818</v>
      </c>
      <c r="U167" s="81">
        <f t="shared" si="41"/>
        <v>287840.49980659003</v>
      </c>
      <c r="V167" s="81">
        <f t="shared" si="41"/>
        <v>296475.71480078774</v>
      </c>
      <c r="W167" s="81">
        <f t="shared" si="41"/>
        <v>305369.98624481139</v>
      </c>
      <c r="X167" s="81">
        <f t="shared" si="41"/>
        <v>314531.08583215578</v>
      </c>
      <c r="Y167" s="81">
        <f t="shared" si="41"/>
        <v>323967.01840712049</v>
      </c>
      <c r="Z167" s="81">
        <f t="shared" si="41"/>
        <v>333686.02895933401</v>
      </c>
      <c r="AA167" s="81">
        <f t="shared" si="41"/>
        <v>343696.60982811416</v>
      </c>
      <c r="AB167" s="81">
        <f t="shared" si="41"/>
        <v>354007.50812295754</v>
      </c>
      <c r="AC167" s="81">
        <f t="shared" si="41"/>
        <v>364627.73336664628</v>
      </c>
      <c r="AD167" s="81">
        <f t="shared" si="41"/>
        <v>375566.5653676457</v>
      </c>
      <c r="AE167" s="81">
        <f t="shared" si="41"/>
        <v>375566.5653676457</v>
      </c>
      <c r="AF167" s="81">
        <f t="shared" si="41"/>
        <v>375566.5653676457</v>
      </c>
    </row>
    <row r="168" spans="1:32" x14ac:dyDescent="0.2">
      <c r="A168" s="78" t="s">
        <v>133</v>
      </c>
      <c r="B168" s="80" t="s">
        <v>49</v>
      </c>
      <c r="C168" s="81"/>
      <c r="D168" s="81"/>
      <c r="E168" s="81"/>
      <c r="F168" s="81">
        <f>F163</f>
        <v>67831.228693460376</v>
      </c>
      <c r="G168" s="81">
        <f>G163</f>
        <v>83341.054416404804</v>
      </c>
      <c r="H168" s="81">
        <f>H163</f>
        <v>100506.78212094592</v>
      </c>
      <c r="I168" s="81">
        <f>I163</f>
        <v>112661.47407787279</v>
      </c>
      <c r="J168" s="81">
        <f>J163</f>
        <v>119181.16252254514</v>
      </c>
      <c r="K168" s="81">
        <f>K163</f>
        <v>124940.22064867243</v>
      </c>
      <c r="L168" s="81">
        <f>L163</f>
        <v>130987.23168110606</v>
      </c>
      <c r="M168" s="81">
        <f>M163</f>
        <v>137336.59326516135</v>
      </c>
      <c r="N168" s="81">
        <f>N163</f>
        <v>144003.42292841943</v>
      </c>
      <c r="O168" s="81">
        <f>O163</f>
        <v>151003.5940748404</v>
      </c>
      <c r="P168" s="81">
        <f>P163</f>
        <v>156883.73783783402</v>
      </c>
      <c r="Q168" s="81">
        <f>Q163</f>
        <v>162999.08735134738</v>
      </c>
      <c r="R168" s="81">
        <f>R163</f>
        <v>169359.0508454013</v>
      </c>
      <c r="S168" s="81">
        <f>S163</f>
        <v>175973.41287921736</v>
      </c>
      <c r="T168" s="81">
        <f>T163</f>
        <v>182852.34939438605</v>
      </c>
      <c r="U168" s="81">
        <f>U163</f>
        <v>188217.91987621761</v>
      </c>
      <c r="V168" s="81">
        <f>V163</f>
        <v>193744.45747250417</v>
      </c>
      <c r="W168" s="81">
        <f>W163</f>
        <v>199436.79119667929</v>
      </c>
      <c r="X168" s="81">
        <f>X163</f>
        <v>205299.89493257969</v>
      </c>
      <c r="Y168" s="81">
        <f>Y163</f>
        <v>211338.89178055711</v>
      </c>
      <c r="Z168" s="81">
        <f>Z163</f>
        <v>217559.05853397376</v>
      </c>
      <c r="AA168" s="81">
        <f>AA163</f>
        <v>223965.83028999306</v>
      </c>
      <c r="AB168" s="81">
        <f>AB163</f>
        <v>230564.8051986928</v>
      </c>
      <c r="AC168" s="81">
        <f>AC163</f>
        <v>237361.74935465361</v>
      </c>
      <c r="AD168" s="81">
        <f>AD163</f>
        <v>244362.60183529323</v>
      </c>
      <c r="AE168" s="81">
        <f>AE163</f>
        <v>244362.60183529323</v>
      </c>
      <c r="AF168" s="81">
        <f>AF163</f>
        <v>244362.60183529323</v>
      </c>
    </row>
    <row r="169" spans="1:32" x14ac:dyDescent="0.2">
      <c r="A169" s="78" t="s">
        <v>134</v>
      </c>
      <c r="B169" s="80" t="s">
        <v>49</v>
      </c>
      <c r="C169" s="81"/>
      <c r="D169" s="81"/>
      <c r="E169" s="81"/>
      <c r="F169" s="81">
        <f>F167-F168</f>
        <v>21264.73708632146</v>
      </c>
      <c r="G169" s="81">
        <f t="shared" ref="G169:AF169" si="42">G167-G168</f>
        <v>29989.014055477688</v>
      </c>
      <c r="H169" s="81">
        <f t="shared" si="42"/>
        <v>39644.735889282078</v>
      </c>
      <c r="I169" s="81">
        <f t="shared" si="42"/>
        <v>57122.079168803437</v>
      </c>
      <c r="J169" s="81">
        <f t="shared" si="42"/>
        <v>60789.403918931668</v>
      </c>
      <c r="K169" s="81">
        <f t="shared" si="42"/>
        <v>64028.874114878243</v>
      </c>
      <c r="L169" s="81">
        <f t="shared" si="42"/>
        <v>67430.317820622149</v>
      </c>
      <c r="M169" s="81">
        <f t="shared" si="42"/>
        <v>71001.833711653278</v>
      </c>
      <c r="N169" s="81">
        <f t="shared" si="42"/>
        <v>74751.925397235958</v>
      </c>
      <c r="O169" s="81">
        <f t="shared" si="42"/>
        <v>78689.521667097724</v>
      </c>
      <c r="P169" s="81">
        <f t="shared" si="42"/>
        <v>81997.102533781639</v>
      </c>
      <c r="Q169" s="81">
        <f t="shared" si="42"/>
        <v>85436.986635132926</v>
      </c>
      <c r="R169" s="81">
        <f t="shared" si="42"/>
        <v>89014.466100538208</v>
      </c>
      <c r="S169" s="81">
        <f t="shared" si="42"/>
        <v>92735.044744559738</v>
      </c>
      <c r="T169" s="81">
        <f t="shared" si="42"/>
        <v>96604.446534342133</v>
      </c>
      <c r="U169" s="81">
        <f t="shared" si="42"/>
        <v>99622.57993037242</v>
      </c>
      <c r="V169" s="81">
        <f t="shared" si="42"/>
        <v>102731.25732828357</v>
      </c>
      <c r="W169" s="81">
        <f t="shared" si="42"/>
        <v>105933.1950481321</v>
      </c>
      <c r="X169" s="81">
        <f t="shared" si="42"/>
        <v>109231.19089957609</v>
      </c>
      <c r="Y169" s="81">
        <f t="shared" si="42"/>
        <v>112628.12662656337</v>
      </c>
      <c r="Z169" s="81">
        <f t="shared" si="42"/>
        <v>116126.97042536025</v>
      </c>
      <c r="AA169" s="81">
        <f t="shared" si="42"/>
        <v>119730.7795381211</v>
      </c>
      <c r="AB169" s="81">
        <f t="shared" si="42"/>
        <v>123442.70292426474</v>
      </c>
      <c r="AC169" s="81">
        <f t="shared" si="42"/>
        <v>127265.98401199267</v>
      </c>
      <c r="AD169" s="81">
        <f t="shared" si="42"/>
        <v>131203.96353235247</v>
      </c>
      <c r="AE169" s="81">
        <f t="shared" si="42"/>
        <v>131203.96353235247</v>
      </c>
      <c r="AF169" s="81">
        <f t="shared" si="42"/>
        <v>131203.96353235247</v>
      </c>
    </row>
    <row r="170" spans="1:32" x14ac:dyDescent="0.2">
      <c r="A170" s="78" t="s">
        <v>135</v>
      </c>
      <c r="B170" s="80" t="s">
        <v>49</v>
      </c>
      <c r="C170" s="81"/>
      <c r="D170" s="81"/>
      <c r="E170" s="81"/>
      <c r="F170" s="81">
        <f>F143</f>
        <v>26028.793865251522</v>
      </c>
      <c r="G170" s="81">
        <f>G143</f>
        <v>26028.793865251522</v>
      </c>
      <c r="H170" s="81">
        <f>H143</f>
        <v>26028.793865251522</v>
      </c>
      <c r="I170" s="81">
        <f>I143</f>
        <v>26028.793865251522</v>
      </c>
      <c r="J170" s="81">
        <f>J143</f>
        <v>26028.793865251522</v>
      </c>
      <c r="K170" s="81">
        <f>K143</f>
        <v>16261.511945251519</v>
      </c>
      <c r="L170" s="81">
        <f>L143</f>
        <v>16261.511945251519</v>
      </c>
      <c r="M170" s="81">
        <f>M143</f>
        <v>16261.511945251519</v>
      </c>
      <c r="N170" s="81">
        <f>N143</f>
        <v>16261.511945251519</v>
      </c>
      <c r="O170" s="81">
        <f>O143</f>
        <v>16261.511945251519</v>
      </c>
      <c r="P170" s="81">
        <f>P143</f>
        <v>16261.511945251519</v>
      </c>
      <c r="Q170" s="81">
        <f>Q143</f>
        <v>16261.511945251519</v>
      </c>
      <c r="R170" s="81">
        <f>R143</f>
        <v>16261.511945251519</v>
      </c>
      <c r="S170" s="81">
        <f>S143</f>
        <v>16261.511945251519</v>
      </c>
      <c r="T170" s="81">
        <f>T143</f>
        <v>16261.511945251519</v>
      </c>
      <c r="U170" s="81">
        <f>U143</f>
        <v>16261.511945251519</v>
      </c>
      <c r="V170" s="81">
        <f>V143</f>
        <v>16261.511945251519</v>
      </c>
      <c r="W170" s="81">
        <f>W143</f>
        <v>16261.511945251519</v>
      </c>
      <c r="X170" s="81">
        <f>X143</f>
        <v>16261.511945251519</v>
      </c>
      <c r="Y170" s="81">
        <f>Y143</f>
        <v>16261.511945251519</v>
      </c>
      <c r="Z170" s="81">
        <f>Z143</f>
        <v>16261.511945251519</v>
      </c>
      <c r="AA170" s="81">
        <f>AA143</f>
        <v>16261.511945251519</v>
      </c>
      <c r="AB170" s="81">
        <f>AB143</f>
        <v>16261.511945251519</v>
      </c>
      <c r="AC170" s="81">
        <f>AC143</f>
        <v>16261.511945251519</v>
      </c>
      <c r="AD170" s="81">
        <f>AD143</f>
        <v>16261.511945251519</v>
      </c>
      <c r="AE170" s="81">
        <f>AE143</f>
        <v>0</v>
      </c>
      <c r="AF170" s="81">
        <f>AF143</f>
        <v>0</v>
      </c>
    </row>
    <row r="171" spans="1:32" x14ac:dyDescent="0.2">
      <c r="A171" s="78" t="s">
        <v>136</v>
      </c>
      <c r="B171" s="80" t="s">
        <v>49</v>
      </c>
      <c r="C171" s="81"/>
      <c r="D171" s="81"/>
      <c r="E171" s="81"/>
      <c r="F171" s="81">
        <f>F169-F170</f>
        <v>-4764.0567789300621</v>
      </c>
      <c r="G171" s="81">
        <f t="shared" ref="G171:AF171" si="43">G169-G170</f>
        <v>3960.2201902261659</v>
      </c>
      <c r="H171" s="81">
        <f t="shared" si="43"/>
        <v>13615.942024030555</v>
      </c>
      <c r="I171" s="81">
        <f t="shared" si="43"/>
        <v>31093.285303551915</v>
      </c>
      <c r="J171" s="81">
        <f t="shared" si="43"/>
        <v>34760.610053680146</v>
      </c>
      <c r="K171" s="81">
        <f t="shared" si="43"/>
        <v>47767.362169626722</v>
      </c>
      <c r="L171" s="81">
        <f t="shared" si="43"/>
        <v>51168.805875370628</v>
      </c>
      <c r="M171" s="81">
        <f t="shared" si="43"/>
        <v>54740.321766401757</v>
      </c>
      <c r="N171" s="81">
        <f t="shared" si="43"/>
        <v>58490.413451984437</v>
      </c>
      <c r="O171" s="81">
        <f t="shared" si="43"/>
        <v>62428.009721846203</v>
      </c>
      <c r="P171" s="81">
        <f t="shared" si="43"/>
        <v>65735.590588530118</v>
      </c>
      <c r="Q171" s="81">
        <f t="shared" si="43"/>
        <v>69175.474689881405</v>
      </c>
      <c r="R171" s="81">
        <f t="shared" si="43"/>
        <v>72752.954155286687</v>
      </c>
      <c r="S171" s="81">
        <f t="shared" si="43"/>
        <v>76473.532799308217</v>
      </c>
      <c r="T171" s="81">
        <f t="shared" si="43"/>
        <v>80342.934589090612</v>
      </c>
      <c r="U171" s="81">
        <f t="shared" si="43"/>
        <v>83361.067985120899</v>
      </c>
      <c r="V171" s="81">
        <f t="shared" si="43"/>
        <v>86469.745383032045</v>
      </c>
      <c r="W171" s="81">
        <f t="shared" si="43"/>
        <v>89671.683102880575</v>
      </c>
      <c r="X171" s="81">
        <f t="shared" si="43"/>
        <v>92969.678954324569</v>
      </c>
      <c r="Y171" s="81">
        <f t="shared" si="43"/>
        <v>96366.614681311854</v>
      </c>
      <c r="Z171" s="81">
        <f t="shared" si="43"/>
        <v>99865.458480108733</v>
      </c>
      <c r="AA171" s="81">
        <f t="shared" si="43"/>
        <v>103469.26759286958</v>
      </c>
      <c r="AB171" s="81">
        <f t="shared" si="43"/>
        <v>107181.19097901322</v>
      </c>
      <c r="AC171" s="81">
        <f t="shared" si="43"/>
        <v>111004.47206674115</v>
      </c>
      <c r="AD171" s="81">
        <f t="shared" si="43"/>
        <v>114942.45158710095</v>
      </c>
      <c r="AE171" s="81">
        <f t="shared" si="43"/>
        <v>131203.96353235247</v>
      </c>
      <c r="AF171" s="81">
        <f t="shared" si="43"/>
        <v>131203.96353235247</v>
      </c>
    </row>
    <row r="172" spans="1:32" x14ac:dyDescent="0.2">
      <c r="A172" s="78" t="s">
        <v>137</v>
      </c>
      <c r="B172" s="80" t="s">
        <v>49</v>
      </c>
      <c r="C172" s="81"/>
      <c r="D172" s="81"/>
      <c r="E172" s="81"/>
      <c r="F172" s="81">
        <f>F130</f>
        <v>17108.394744609079</v>
      </c>
      <c r="G172" s="81">
        <f>G130</f>
        <v>17108.394744609079</v>
      </c>
      <c r="H172" s="81">
        <f>H130</f>
        <v>17108.394744609079</v>
      </c>
      <c r="I172" s="81">
        <f>I130</f>
        <v>17108.394744609079</v>
      </c>
      <c r="J172" s="81">
        <f>J130</f>
        <v>17108.394744609079</v>
      </c>
      <c r="K172" s="81">
        <f>K130</f>
        <v>15397.55527014817</v>
      </c>
      <c r="L172" s="81">
        <f>L130</f>
        <v>13686.715795687263</v>
      </c>
      <c r="M172" s="81">
        <f>M130</f>
        <v>11975.876321226355</v>
      </c>
      <c r="N172" s="81">
        <f>N130</f>
        <v>10265.036846765446</v>
      </c>
      <c r="O172" s="81">
        <f>O130</f>
        <v>8554.1973723045394</v>
      </c>
      <c r="P172" s="81">
        <f>P130</f>
        <v>6843.3578978436317</v>
      </c>
      <c r="Q172" s="81">
        <f>Q130</f>
        <v>5132.5184233827231</v>
      </c>
      <c r="R172" s="81">
        <f>R130</f>
        <v>3421.6789489218158</v>
      </c>
      <c r="S172" s="81">
        <f>S130</f>
        <v>1710.8394744609079</v>
      </c>
      <c r="T172" s="81">
        <f>T130</f>
        <v>0</v>
      </c>
      <c r="U172" s="81">
        <f>U130</f>
        <v>0</v>
      </c>
      <c r="V172" s="81">
        <f>V130</f>
        <v>0</v>
      </c>
      <c r="W172" s="81">
        <f>W130</f>
        <v>0</v>
      </c>
      <c r="X172" s="81">
        <f>X130</f>
        <v>0</v>
      </c>
      <c r="Y172" s="81">
        <f>Y130</f>
        <v>0</v>
      </c>
      <c r="Z172" s="81">
        <f>Z130</f>
        <v>0</v>
      </c>
      <c r="AA172" s="81">
        <f>AA130</f>
        <v>0</v>
      </c>
      <c r="AB172" s="81">
        <f>AB130</f>
        <v>0</v>
      </c>
      <c r="AC172" s="81">
        <f>AC130</f>
        <v>0</v>
      </c>
      <c r="AD172" s="81">
        <f>AD130</f>
        <v>0</v>
      </c>
      <c r="AE172" s="81">
        <f>AE130</f>
        <v>0</v>
      </c>
      <c r="AF172" s="81">
        <f>AF130</f>
        <v>0</v>
      </c>
    </row>
    <row r="173" spans="1:32" x14ac:dyDescent="0.2">
      <c r="A173" s="78" t="s">
        <v>138</v>
      </c>
      <c r="B173" s="80" t="s">
        <v>49</v>
      </c>
      <c r="C173" s="81"/>
      <c r="D173" s="81"/>
      <c r="E173" s="81"/>
      <c r="F173" s="81">
        <f>F171-F172</f>
        <v>-21872.451523539141</v>
      </c>
      <c r="G173" s="81">
        <f t="shared" ref="G173:AF173" si="44">G171-G172</f>
        <v>-13148.174554382913</v>
      </c>
      <c r="H173" s="81">
        <f t="shared" si="44"/>
        <v>-3492.4527205785234</v>
      </c>
      <c r="I173" s="81">
        <f t="shared" si="44"/>
        <v>13984.890558942836</v>
      </c>
      <c r="J173" s="81">
        <f t="shared" si="44"/>
        <v>17652.215309071067</v>
      </c>
      <c r="K173" s="81">
        <f t="shared" si="44"/>
        <v>32369.80689947855</v>
      </c>
      <c r="L173" s="81">
        <f t="shared" si="44"/>
        <v>37482.090079683367</v>
      </c>
      <c r="M173" s="81">
        <f t="shared" si="44"/>
        <v>42764.445445175399</v>
      </c>
      <c r="N173" s="81">
        <f t="shared" si="44"/>
        <v>48225.376605218989</v>
      </c>
      <c r="O173" s="81">
        <f t="shared" si="44"/>
        <v>53873.812349541666</v>
      </c>
      <c r="P173" s="81">
        <f t="shared" si="44"/>
        <v>58892.232690686484</v>
      </c>
      <c r="Q173" s="81">
        <f t="shared" si="44"/>
        <v>64042.956266498681</v>
      </c>
      <c r="R173" s="81">
        <f t="shared" si="44"/>
        <v>69331.275206364866</v>
      </c>
      <c r="S173" s="81">
        <f t="shared" si="44"/>
        <v>74762.693324847307</v>
      </c>
      <c r="T173" s="81">
        <f t="shared" si="44"/>
        <v>80342.934589090612</v>
      </c>
      <c r="U173" s="81">
        <f t="shared" si="44"/>
        <v>83361.067985120899</v>
      </c>
      <c r="V173" s="81">
        <f t="shared" si="44"/>
        <v>86469.745383032045</v>
      </c>
      <c r="W173" s="81">
        <f t="shared" si="44"/>
        <v>89671.683102880575</v>
      </c>
      <c r="X173" s="81">
        <f t="shared" si="44"/>
        <v>92969.678954324569</v>
      </c>
      <c r="Y173" s="81">
        <f t="shared" si="44"/>
        <v>96366.614681311854</v>
      </c>
      <c r="Z173" s="81">
        <f t="shared" si="44"/>
        <v>99865.458480108733</v>
      </c>
      <c r="AA173" s="81">
        <f t="shared" si="44"/>
        <v>103469.26759286958</v>
      </c>
      <c r="AB173" s="81">
        <f t="shared" si="44"/>
        <v>107181.19097901322</v>
      </c>
      <c r="AC173" s="81">
        <f t="shared" si="44"/>
        <v>111004.47206674115</v>
      </c>
      <c r="AD173" s="81">
        <f t="shared" si="44"/>
        <v>114942.45158710095</v>
      </c>
      <c r="AE173" s="81">
        <f t="shared" si="44"/>
        <v>131203.96353235247</v>
      </c>
      <c r="AF173" s="81">
        <f t="shared" si="44"/>
        <v>131203.96353235247</v>
      </c>
    </row>
    <row r="174" spans="1:32" x14ac:dyDescent="0.2">
      <c r="A174" s="78" t="s">
        <v>139</v>
      </c>
      <c r="B174" s="80" t="s">
        <v>49</v>
      </c>
      <c r="C174" s="81"/>
      <c r="D174" s="81"/>
      <c r="E174" s="81"/>
      <c r="F174" s="81">
        <f t="shared" ref="F174" si="45">E174+F173</f>
        <v>-21872.451523539141</v>
      </c>
      <c r="G174" s="81">
        <f t="shared" ref="G174" si="46">F174+G173</f>
        <v>-35020.626077922054</v>
      </c>
      <c r="H174" s="81">
        <f t="shared" ref="H174" si="47">G174+H173</f>
        <v>-38513.078798500574</v>
      </c>
      <c r="I174" s="81">
        <f t="shared" ref="I174" si="48">H174+I173</f>
        <v>-24528.188239557738</v>
      </c>
      <c r="J174" s="81">
        <f t="shared" ref="J174" si="49">I174+J173</f>
        <v>-6875.9729304866705</v>
      </c>
      <c r="K174" s="81">
        <f t="shared" ref="K174" si="50">J174+K173</f>
        <v>25493.833968991879</v>
      </c>
      <c r="L174" s="81">
        <f t="shared" ref="L174" si="51">K174+L173</f>
        <v>62975.924048675246</v>
      </c>
      <c r="M174" s="81">
        <f t="shared" ref="M174" si="52">L174+M173</f>
        <v>105740.36949385065</v>
      </c>
      <c r="N174" s="81">
        <f t="shared" ref="N174" si="53">M174+N173</f>
        <v>153965.74609906966</v>
      </c>
      <c r="O174" s="81">
        <f t="shared" ref="O174" si="54">N174+O173</f>
        <v>207839.55844861132</v>
      </c>
      <c r="P174" s="81">
        <f t="shared" ref="P174" si="55">O174+P173</f>
        <v>266731.79113929783</v>
      </c>
      <c r="Q174" s="81">
        <f t="shared" ref="Q174" si="56">P174+Q173</f>
        <v>330774.74740579649</v>
      </c>
      <c r="R174" s="81">
        <f t="shared" ref="R174" si="57">Q174+R173</f>
        <v>400106.02261216135</v>
      </c>
      <c r="S174" s="81">
        <f t="shared" ref="S174" si="58">R174+S173</f>
        <v>474868.71593700867</v>
      </c>
      <c r="T174" s="81">
        <f t="shared" ref="T174" si="59">S174+T173</f>
        <v>555211.65052609926</v>
      </c>
      <c r="U174" s="81">
        <f t="shared" ref="U174" si="60">T174+U173</f>
        <v>638572.71851122018</v>
      </c>
      <c r="V174" s="81">
        <f t="shared" ref="V174" si="61">U174+V173</f>
        <v>725042.4638942522</v>
      </c>
      <c r="W174" s="81">
        <f t="shared" ref="W174" si="62">V174+W173</f>
        <v>814714.1469971328</v>
      </c>
      <c r="X174" s="81">
        <f t="shared" ref="X174" si="63">W174+X173</f>
        <v>907683.82595145737</v>
      </c>
      <c r="Y174" s="81">
        <f t="shared" ref="Y174" si="64">X174+Y173</f>
        <v>1004050.4406327693</v>
      </c>
      <c r="Z174" s="81">
        <f t="shared" ref="Z174" si="65">Y174+Z173</f>
        <v>1103915.8991128779</v>
      </c>
      <c r="AA174" s="81">
        <f t="shared" ref="AA174" si="66">Z174+AA173</f>
        <v>1207385.1667057476</v>
      </c>
      <c r="AB174" s="81">
        <f t="shared" ref="AB174" si="67">AA174+AB173</f>
        <v>1314566.3576847608</v>
      </c>
      <c r="AC174" s="81">
        <f t="shared" ref="AC174" si="68">AB174+AC173</f>
        <v>1425570.829751502</v>
      </c>
      <c r="AD174" s="81">
        <f t="shared" ref="AD174" si="69">AC174+AD173</f>
        <v>1540513.281338603</v>
      </c>
      <c r="AE174" s="81">
        <f t="shared" ref="AE174" si="70">AD174+AE173</f>
        <v>1671717.2448709556</v>
      </c>
      <c r="AF174" s="81">
        <f t="shared" ref="AF174" si="71">AE174+AF173</f>
        <v>1802921.2084033079</v>
      </c>
    </row>
    <row r="175" spans="1:32" x14ac:dyDescent="0.2">
      <c r="A175" s="78" t="s">
        <v>140</v>
      </c>
      <c r="B175" s="80" t="s">
        <v>49</v>
      </c>
      <c r="C175" s="81"/>
      <c r="D175" s="81"/>
      <c r="E175" s="81"/>
      <c r="F175" s="81">
        <f>IF(F174&lt;0,0,IF(E174&lt;0,F174,F173))</f>
        <v>0</v>
      </c>
      <c r="G175" s="81">
        <f t="shared" ref="G175:AF175" si="72">IF(G174&lt;0,0,IF(F174&lt;0,G174,G173))</f>
        <v>0</v>
      </c>
      <c r="H175" s="81">
        <f t="shared" si="72"/>
        <v>0</v>
      </c>
      <c r="I175" s="81">
        <f t="shared" si="72"/>
        <v>0</v>
      </c>
      <c r="J175" s="81">
        <f t="shared" si="72"/>
        <v>0</v>
      </c>
      <c r="K175" s="81">
        <f t="shared" si="72"/>
        <v>25493.833968991879</v>
      </c>
      <c r="L175" s="81">
        <f t="shared" si="72"/>
        <v>37482.090079683367</v>
      </c>
      <c r="M175" s="81">
        <f t="shared" si="72"/>
        <v>42764.445445175399</v>
      </c>
      <c r="N175" s="81">
        <f t="shared" si="72"/>
        <v>48225.376605218989</v>
      </c>
      <c r="O175" s="81">
        <f t="shared" si="72"/>
        <v>53873.812349541666</v>
      </c>
      <c r="P175" s="81">
        <f t="shared" si="72"/>
        <v>58892.232690686484</v>
      </c>
      <c r="Q175" s="81">
        <f t="shared" si="72"/>
        <v>64042.956266498681</v>
      </c>
      <c r="R175" s="81">
        <f t="shared" si="72"/>
        <v>69331.275206364866</v>
      </c>
      <c r="S175" s="81">
        <f t="shared" si="72"/>
        <v>74762.693324847307</v>
      </c>
      <c r="T175" s="81">
        <f t="shared" si="72"/>
        <v>80342.934589090612</v>
      </c>
      <c r="U175" s="81">
        <f t="shared" si="72"/>
        <v>83361.067985120899</v>
      </c>
      <c r="V175" s="81">
        <f t="shared" si="72"/>
        <v>86469.745383032045</v>
      </c>
      <c r="W175" s="81">
        <f t="shared" si="72"/>
        <v>89671.683102880575</v>
      </c>
      <c r="X175" s="81">
        <f t="shared" si="72"/>
        <v>92969.678954324569</v>
      </c>
      <c r="Y175" s="81">
        <f t="shared" si="72"/>
        <v>96366.614681311854</v>
      </c>
      <c r="Z175" s="81">
        <f t="shared" si="72"/>
        <v>99865.458480108733</v>
      </c>
      <c r="AA175" s="81">
        <f t="shared" si="72"/>
        <v>103469.26759286958</v>
      </c>
      <c r="AB175" s="81">
        <f t="shared" si="72"/>
        <v>107181.19097901322</v>
      </c>
      <c r="AC175" s="81">
        <f t="shared" si="72"/>
        <v>111004.47206674115</v>
      </c>
      <c r="AD175" s="81">
        <f t="shared" si="72"/>
        <v>114942.45158710095</v>
      </c>
      <c r="AE175" s="81">
        <f t="shared" si="72"/>
        <v>131203.96353235247</v>
      </c>
      <c r="AF175" s="81">
        <f t="shared" si="72"/>
        <v>131203.96353235247</v>
      </c>
    </row>
    <row r="176" spans="1:32" x14ac:dyDescent="0.2">
      <c r="A176" s="79" t="s">
        <v>141</v>
      </c>
      <c r="B176" s="80" t="s">
        <v>49</v>
      </c>
      <c r="C176" s="81"/>
      <c r="D176" s="81"/>
      <c r="E176" s="81"/>
      <c r="F176" s="81">
        <f>F175*$C$82</f>
        <v>0</v>
      </c>
      <c r="G176" s="81">
        <f t="shared" ref="G176:AF176" si="73">G175*$C$82</f>
        <v>0</v>
      </c>
      <c r="H176" s="81">
        <f t="shared" si="73"/>
        <v>0</v>
      </c>
      <c r="I176" s="81">
        <f t="shared" si="73"/>
        <v>0</v>
      </c>
      <c r="J176" s="81">
        <f t="shared" si="73"/>
        <v>0</v>
      </c>
      <c r="K176" s="81">
        <f>K175*$C$82</f>
        <v>6373.4584922479698</v>
      </c>
      <c r="L176" s="81">
        <f t="shared" si="73"/>
        <v>9370.5225199208417</v>
      </c>
      <c r="M176" s="81">
        <f t="shared" si="73"/>
        <v>10691.11136129385</v>
      </c>
      <c r="N176" s="81">
        <f t="shared" si="73"/>
        <v>12056.344151304747</v>
      </c>
      <c r="O176" s="81">
        <f t="shared" si="73"/>
        <v>13468.453087385416</v>
      </c>
      <c r="P176" s="81">
        <f>P175*$C$82</f>
        <v>14723.058172671621</v>
      </c>
      <c r="Q176" s="81">
        <f t="shared" si="73"/>
        <v>16010.73906662467</v>
      </c>
      <c r="R176" s="81">
        <f t="shared" si="73"/>
        <v>17332.818801591216</v>
      </c>
      <c r="S176" s="81">
        <f t="shared" si="73"/>
        <v>18690.673331211827</v>
      </c>
      <c r="T176" s="81">
        <f t="shared" si="73"/>
        <v>20085.733647272653</v>
      </c>
      <c r="U176" s="81">
        <f t="shared" si="73"/>
        <v>20840.266996280225</v>
      </c>
      <c r="V176" s="81">
        <f t="shared" si="73"/>
        <v>21617.436345758011</v>
      </c>
      <c r="W176" s="81">
        <f t="shared" si="73"/>
        <v>22417.920775720144</v>
      </c>
      <c r="X176" s="81">
        <f t="shared" si="73"/>
        <v>23242.419738581142</v>
      </c>
      <c r="Y176" s="81">
        <f t="shared" si="73"/>
        <v>24091.653670327963</v>
      </c>
      <c r="Z176" s="81">
        <f t="shared" si="73"/>
        <v>24966.364620027183</v>
      </c>
      <c r="AA176" s="81">
        <f t="shared" si="73"/>
        <v>25867.316898217396</v>
      </c>
      <c r="AB176" s="81">
        <f t="shared" si="73"/>
        <v>26795.297744753305</v>
      </c>
      <c r="AC176" s="81">
        <f t="shared" si="73"/>
        <v>27751.118016685286</v>
      </c>
      <c r="AD176" s="81">
        <f t="shared" si="73"/>
        <v>28735.612896775237</v>
      </c>
      <c r="AE176" s="81">
        <f t="shared" si="73"/>
        <v>32800.990883088118</v>
      </c>
      <c r="AF176" s="81">
        <f t="shared" si="73"/>
        <v>32800.990883088118</v>
      </c>
    </row>
    <row r="177" spans="1:32" x14ac:dyDescent="0.2">
      <c r="A177" s="78" t="s">
        <v>142</v>
      </c>
      <c r="B177" s="80" t="s">
        <v>49</v>
      </c>
      <c r="C177" s="81"/>
      <c r="D177" s="81"/>
      <c r="E177" s="81"/>
      <c r="F177" s="81">
        <f>F173-F176</f>
        <v>-21872.451523539141</v>
      </c>
      <c r="G177" s="81">
        <f t="shared" ref="G177:AF177" si="74">G173-G176</f>
        <v>-13148.174554382913</v>
      </c>
      <c r="H177" s="81">
        <f t="shared" si="74"/>
        <v>-3492.4527205785234</v>
      </c>
      <c r="I177" s="81">
        <f t="shared" si="74"/>
        <v>13984.890558942836</v>
      </c>
      <c r="J177" s="81">
        <f t="shared" si="74"/>
        <v>17652.215309071067</v>
      </c>
      <c r="K177" s="81">
        <f t="shared" si="74"/>
        <v>25996.34840723058</v>
      </c>
      <c r="L177" s="81">
        <f t="shared" si="74"/>
        <v>28111.567559762523</v>
      </c>
      <c r="M177" s="81">
        <f t="shared" si="74"/>
        <v>32073.334083881549</v>
      </c>
      <c r="N177" s="81">
        <f t="shared" si="74"/>
        <v>36169.032453914246</v>
      </c>
      <c r="O177" s="81">
        <f t="shared" si="74"/>
        <v>40405.359262156249</v>
      </c>
      <c r="P177" s="81">
        <f>P173-P176</f>
        <v>44169.174518014865</v>
      </c>
      <c r="Q177" s="81">
        <f t="shared" si="74"/>
        <v>48032.217199874009</v>
      </c>
      <c r="R177" s="81">
        <f t="shared" si="74"/>
        <v>51998.456404773649</v>
      </c>
      <c r="S177" s="81">
        <f t="shared" si="74"/>
        <v>56072.019993635477</v>
      </c>
      <c r="T177" s="81">
        <f t="shared" si="74"/>
        <v>60257.200941817959</v>
      </c>
      <c r="U177" s="81">
        <f t="shared" si="74"/>
        <v>62520.800988840674</v>
      </c>
      <c r="V177" s="81">
        <f t="shared" si="74"/>
        <v>64852.309037274033</v>
      </c>
      <c r="W177" s="81">
        <f t="shared" si="74"/>
        <v>67253.762327160424</v>
      </c>
      <c r="X177" s="81">
        <f t="shared" si="74"/>
        <v>69727.259215743426</v>
      </c>
      <c r="Y177" s="81">
        <f t="shared" si="74"/>
        <v>72274.961010983883</v>
      </c>
      <c r="Z177" s="81">
        <f t="shared" si="74"/>
        <v>74899.093860081543</v>
      </c>
      <c r="AA177" s="81">
        <f t="shared" si="74"/>
        <v>77601.950694652187</v>
      </c>
      <c r="AB177" s="81">
        <f t="shared" si="74"/>
        <v>80385.893234259915</v>
      </c>
      <c r="AC177" s="81">
        <f t="shared" si="74"/>
        <v>83253.354050055859</v>
      </c>
      <c r="AD177" s="81">
        <f t="shared" si="74"/>
        <v>86206.838690325705</v>
      </c>
      <c r="AE177" s="81">
        <f t="shared" si="74"/>
        <v>98402.972649264353</v>
      </c>
      <c r="AF177" s="81">
        <f t="shared" si="74"/>
        <v>98402.972649264353</v>
      </c>
    </row>
    <row r="178" spans="1:32" x14ac:dyDescent="0.2">
      <c r="A178" s="1"/>
      <c r="B178" s="1"/>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row>
    <row r="179" spans="1:32" x14ac:dyDescent="0.2">
      <c r="A179" s="83" t="s">
        <v>143</v>
      </c>
      <c r="B179" s="1"/>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row>
    <row r="180" spans="1:32" x14ac:dyDescent="0.2">
      <c r="A180" s="84" t="s">
        <v>144</v>
      </c>
      <c r="B180" s="88"/>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c r="AB180" s="90"/>
      <c r="AC180" s="90"/>
      <c r="AD180" s="90"/>
      <c r="AE180" s="90"/>
      <c r="AF180" s="90"/>
    </row>
    <row r="181" spans="1:32" x14ac:dyDescent="0.2">
      <c r="A181" s="85" t="s">
        <v>120</v>
      </c>
      <c r="B181" s="88" t="s">
        <v>49</v>
      </c>
      <c r="C181" s="90"/>
      <c r="D181" s="90"/>
      <c r="E181" s="90"/>
      <c r="F181" s="90">
        <f>F167</f>
        <v>89095.965779781836</v>
      </c>
      <c r="G181" s="90">
        <f t="shared" ref="G181:AF181" si="75">G167</f>
        <v>113330.06847188249</v>
      </c>
      <c r="H181" s="90">
        <f t="shared" si="75"/>
        <v>140151.518010228</v>
      </c>
      <c r="I181" s="90">
        <f t="shared" si="75"/>
        <v>169783.55324667622</v>
      </c>
      <c r="J181" s="90">
        <f t="shared" si="75"/>
        <v>179970.56644147681</v>
      </c>
      <c r="K181" s="90">
        <f t="shared" si="75"/>
        <v>188969.09476355067</v>
      </c>
      <c r="L181" s="90">
        <f t="shared" si="75"/>
        <v>198417.54950172821</v>
      </c>
      <c r="M181" s="90">
        <f t="shared" si="75"/>
        <v>208338.42697681463</v>
      </c>
      <c r="N181" s="90">
        <f t="shared" si="75"/>
        <v>218755.34832565539</v>
      </c>
      <c r="O181" s="90">
        <f t="shared" si="75"/>
        <v>229693.11574193812</v>
      </c>
      <c r="P181" s="90">
        <f t="shared" si="75"/>
        <v>238880.84037161566</v>
      </c>
      <c r="Q181" s="90">
        <f t="shared" si="75"/>
        <v>248436.0739864803</v>
      </c>
      <c r="R181" s="90">
        <f t="shared" si="75"/>
        <v>258373.51694593951</v>
      </c>
      <c r="S181" s="90">
        <f t="shared" si="75"/>
        <v>268708.4576237771</v>
      </c>
      <c r="T181" s="90">
        <f t="shared" si="75"/>
        <v>279456.79592872818</v>
      </c>
      <c r="U181" s="90">
        <f t="shared" si="75"/>
        <v>287840.49980659003</v>
      </c>
      <c r="V181" s="90">
        <f t="shared" si="75"/>
        <v>296475.71480078774</v>
      </c>
      <c r="W181" s="90">
        <f t="shared" si="75"/>
        <v>305369.98624481139</v>
      </c>
      <c r="X181" s="90">
        <f t="shared" si="75"/>
        <v>314531.08583215578</v>
      </c>
      <c r="Y181" s="90">
        <f t="shared" si="75"/>
        <v>323967.01840712049</v>
      </c>
      <c r="Z181" s="90">
        <f t="shared" si="75"/>
        <v>333686.02895933401</v>
      </c>
      <c r="AA181" s="90">
        <f t="shared" si="75"/>
        <v>343696.60982811416</v>
      </c>
      <c r="AB181" s="90">
        <f t="shared" si="75"/>
        <v>354007.50812295754</v>
      </c>
      <c r="AC181" s="90">
        <f t="shared" si="75"/>
        <v>364627.73336664628</v>
      </c>
      <c r="AD181" s="90">
        <f t="shared" si="75"/>
        <v>375566.5653676457</v>
      </c>
      <c r="AE181" s="90">
        <f t="shared" si="75"/>
        <v>375566.5653676457</v>
      </c>
      <c r="AF181" s="90">
        <f t="shared" si="75"/>
        <v>375566.5653676457</v>
      </c>
    </row>
    <row r="182" spans="1:32" x14ac:dyDescent="0.2">
      <c r="A182" s="84" t="s">
        <v>145</v>
      </c>
      <c r="B182" s="88"/>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c r="AE182" s="90"/>
      <c r="AF182" s="90"/>
    </row>
    <row r="183" spans="1:32" x14ac:dyDescent="0.2">
      <c r="A183" s="85" t="s">
        <v>146</v>
      </c>
      <c r="B183" s="88" t="s">
        <v>49</v>
      </c>
      <c r="C183" s="90"/>
      <c r="D183" s="90"/>
      <c r="E183" s="90"/>
      <c r="F183" s="90">
        <f>F154+F155</f>
        <v>17819.193155956367</v>
      </c>
      <c r="G183" s="90">
        <f t="shared" ref="G183:AF183" si="76">G154+G155</f>
        <v>22666.013694376496</v>
      </c>
      <c r="H183" s="90">
        <f t="shared" si="76"/>
        <v>28030.303602045602</v>
      </c>
      <c r="I183" s="90">
        <f t="shared" si="76"/>
        <v>33956.710649335248</v>
      </c>
      <c r="J183" s="90">
        <f t="shared" si="76"/>
        <v>35994.113288295361</v>
      </c>
      <c r="K183" s="90">
        <f t="shared" si="76"/>
        <v>37793.818952710135</v>
      </c>
      <c r="L183" s="90">
        <f t="shared" si="76"/>
        <v>39683.509900345642</v>
      </c>
      <c r="M183" s="90">
        <f t="shared" si="76"/>
        <v>41667.685395362925</v>
      </c>
      <c r="N183" s="90">
        <f t="shared" si="76"/>
        <v>43751.069665131072</v>
      </c>
      <c r="O183" s="90">
        <f t="shared" si="76"/>
        <v>45938.623148387618</v>
      </c>
      <c r="P183" s="90">
        <f t="shared" si="76"/>
        <v>47776.168074323126</v>
      </c>
      <c r="Q183" s="90">
        <f t="shared" si="76"/>
        <v>49687.214797296059</v>
      </c>
      <c r="R183" s="90">
        <f t="shared" si="76"/>
        <v>51674.703389187896</v>
      </c>
      <c r="S183" s="90">
        <f t="shared" si="76"/>
        <v>53741.691524755413</v>
      </c>
      <c r="T183" s="90">
        <f t="shared" si="76"/>
        <v>55891.359185745641</v>
      </c>
      <c r="U183" s="90">
        <f t="shared" si="76"/>
        <v>57568.09996131801</v>
      </c>
      <c r="V183" s="90">
        <f t="shared" si="76"/>
        <v>59295.142960157551</v>
      </c>
      <c r="W183" s="90">
        <f t="shared" si="76"/>
        <v>61073.997248962281</v>
      </c>
      <c r="X183" s="90">
        <f t="shared" si="76"/>
        <v>62906.217166431154</v>
      </c>
      <c r="Y183" s="90">
        <f t="shared" si="76"/>
        <v>64793.403681424097</v>
      </c>
      <c r="Z183" s="90">
        <f t="shared" si="76"/>
        <v>66737.2057918668</v>
      </c>
      <c r="AA183" s="90">
        <f t="shared" si="76"/>
        <v>68739.321965622832</v>
      </c>
      <c r="AB183" s="90">
        <f t="shared" si="76"/>
        <v>70801.501624591503</v>
      </c>
      <c r="AC183" s="90">
        <f t="shared" si="76"/>
        <v>72925.546673329256</v>
      </c>
      <c r="AD183" s="90">
        <f t="shared" si="76"/>
        <v>75113.313073529134</v>
      </c>
      <c r="AE183" s="90">
        <f t="shared" si="76"/>
        <v>75113.313073529134</v>
      </c>
      <c r="AF183" s="90">
        <f t="shared" si="76"/>
        <v>75113.313073529134</v>
      </c>
    </row>
    <row r="184" spans="1:32" x14ac:dyDescent="0.2">
      <c r="A184" s="85" t="s">
        <v>128</v>
      </c>
      <c r="B184" s="88" t="s">
        <v>49</v>
      </c>
      <c r="C184" s="90"/>
      <c r="D184" s="90"/>
      <c r="E184" s="90"/>
      <c r="F184" s="90">
        <f>F160</f>
        <v>28071.930095912732</v>
      </c>
      <c r="G184" s="90">
        <f>G160</f>
        <v>37765.571172753</v>
      </c>
      <c r="H184" s="90">
        <f>H160</f>
        <v>48494.150988091198</v>
      </c>
      <c r="I184" s="90">
        <f>I160</f>
        <v>67913.421298670495</v>
      </c>
      <c r="J184" s="90">
        <f>J160</f>
        <v>71988.226576590721</v>
      </c>
      <c r="K184" s="90">
        <f>K160</f>
        <v>75587.63790542027</v>
      </c>
      <c r="L184" s="90">
        <f>L160</f>
        <v>79367.019800691283</v>
      </c>
      <c r="M184" s="90">
        <f>M160</f>
        <v>83335.37079072585</v>
      </c>
      <c r="N184" s="90">
        <f>N160</f>
        <v>87502.139330262158</v>
      </c>
      <c r="O184" s="90">
        <f>O160</f>
        <v>91877.246296775251</v>
      </c>
      <c r="P184" s="90">
        <f>P160</f>
        <v>95552.336148646267</v>
      </c>
      <c r="Q184" s="90">
        <f>Q160</f>
        <v>99374.429594592119</v>
      </c>
      <c r="R184" s="90">
        <f>R160</f>
        <v>103349.40677837581</v>
      </c>
      <c r="S184" s="90">
        <f>S160</f>
        <v>107483.38304951084</v>
      </c>
      <c r="T184" s="90">
        <f>T160</f>
        <v>111782.71837149127</v>
      </c>
      <c r="U184" s="90">
        <f>U160</f>
        <v>115136.19992263601</v>
      </c>
      <c r="V184" s="90">
        <f>V160</f>
        <v>118590.2859203151</v>
      </c>
      <c r="W184" s="90">
        <f>W160</f>
        <v>122147.99449792455</v>
      </c>
      <c r="X184" s="90">
        <f>X160</f>
        <v>125812.43433286231</v>
      </c>
      <c r="Y184" s="90">
        <f>Y160</f>
        <v>129586.80736284819</v>
      </c>
      <c r="Z184" s="90">
        <f>Z160</f>
        <v>133474.4115837336</v>
      </c>
      <c r="AA184" s="90">
        <f>AA160</f>
        <v>137478.64393124566</v>
      </c>
      <c r="AB184" s="90">
        <f>AB160</f>
        <v>141603.00324918301</v>
      </c>
      <c r="AC184" s="90">
        <f>AC160</f>
        <v>145851.09334665851</v>
      </c>
      <c r="AD184" s="90">
        <f>AD160</f>
        <v>150226.62614705827</v>
      </c>
      <c r="AE184" s="90">
        <f>AE160</f>
        <v>150226.62614705827</v>
      </c>
      <c r="AF184" s="90">
        <f>AF160</f>
        <v>150226.62614705827</v>
      </c>
    </row>
    <row r="185" spans="1:32" x14ac:dyDescent="0.2">
      <c r="A185" s="85" t="s">
        <v>129</v>
      </c>
      <c r="B185" s="88" t="s">
        <v>49</v>
      </c>
      <c r="C185" s="90"/>
      <c r="D185" s="90"/>
      <c r="E185" s="90"/>
      <c r="F185" s="90">
        <f>F161</f>
        <v>2807.1930095912735</v>
      </c>
      <c r="G185" s="90">
        <f>G161</f>
        <v>3776.5571172753002</v>
      </c>
      <c r="H185" s="90">
        <f>H161</f>
        <v>4849.4150988091196</v>
      </c>
      <c r="I185" s="90">
        <f>I161</f>
        <v>6791.3421298670501</v>
      </c>
      <c r="J185" s="90">
        <f>J161</f>
        <v>7198.8226576590723</v>
      </c>
      <c r="K185" s="90">
        <f>K161</f>
        <v>7558.763790542027</v>
      </c>
      <c r="L185" s="90">
        <f>L161</f>
        <v>7936.7019800691287</v>
      </c>
      <c r="M185" s="90">
        <f>M161</f>
        <v>8333.5370790725847</v>
      </c>
      <c r="N185" s="90">
        <f>N161</f>
        <v>8750.2139330262162</v>
      </c>
      <c r="O185" s="90">
        <f>O161</f>
        <v>9187.7246296775247</v>
      </c>
      <c r="P185" s="90">
        <f>P161</f>
        <v>9555.2336148646264</v>
      </c>
      <c r="Q185" s="90">
        <f>Q161</f>
        <v>9937.4429594592129</v>
      </c>
      <c r="R185" s="90">
        <f>R161</f>
        <v>10334.940677837581</v>
      </c>
      <c r="S185" s="90">
        <f>S161</f>
        <v>10748.338304951085</v>
      </c>
      <c r="T185" s="90">
        <f>T161</f>
        <v>11178.271837149128</v>
      </c>
      <c r="U185" s="90">
        <f>U161</f>
        <v>11513.619992263601</v>
      </c>
      <c r="V185" s="90">
        <f>V161</f>
        <v>11859.028592031511</v>
      </c>
      <c r="W185" s="90">
        <f>W161</f>
        <v>12214.799449792456</v>
      </c>
      <c r="X185" s="90">
        <f>X161</f>
        <v>12581.243433286232</v>
      </c>
      <c r="Y185" s="90">
        <f>Y161</f>
        <v>12958.680736284819</v>
      </c>
      <c r="Z185" s="90">
        <f>Z161</f>
        <v>13347.44115837336</v>
      </c>
      <c r="AA185" s="90">
        <f>AA161</f>
        <v>13747.864393124568</v>
      </c>
      <c r="AB185" s="90">
        <f>AB161</f>
        <v>14160.300324918302</v>
      </c>
      <c r="AC185" s="90">
        <f>AC161</f>
        <v>14585.109334665853</v>
      </c>
      <c r="AD185" s="90">
        <f>AD161</f>
        <v>15022.662614705827</v>
      </c>
      <c r="AE185" s="90">
        <f>AE161</f>
        <v>15022.662614705827</v>
      </c>
      <c r="AF185" s="90">
        <f>AF161</f>
        <v>15022.662614705827</v>
      </c>
    </row>
    <row r="186" spans="1:32" x14ac:dyDescent="0.2">
      <c r="A186" s="85" t="s">
        <v>130</v>
      </c>
      <c r="B186" s="88" t="s">
        <v>49</v>
      </c>
      <c r="C186" s="90"/>
      <c r="D186" s="90"/>
      <c r="E186" s="90"/>
      <c r="F186" s="90">
        <f>F162</f>
        <v>4000</v>
      </c>
      <c r="G186" s="90">
        <f>G162</f>
        <v>4000</v>
      </c>
      <c r="H186" s="90">
        <f>H162</f>
        <v>4000</v>
      </c>
      <c r="I186" s="90">
        <f>I162</f>
        <v>4000</v>
      </c>
      <c r="J186" s="90">
        <f>J162</f>
        <v>4000</v>
      </c>
      <c r="K186" s="90">
        <f>K162</f>
        <v>4000</v>
      </c>
      <c r="L186" s="90">
        <f>L162</f>
        <v>4000</v>
      </c>
      <c r="M186" s="90">
        <f>M162</f>
        <v>4000</v>
      </c>
      <c r="N186" s="90">
        <f>N162</f>
        <v>4000</v>
      </c>
      <c r="O186" s="90">
        <f>O162</f>
        <v>4000</v>
      </c>
      <c r="P186" s="90">
        <f>P162</f>
        <v>4000</v>
      </c>
      <c r="Q186" s="90">
        <f>Q162</f>
        <v>4000</v>
      </c>
      <c r="R186" s="90">
        <f>R162</f>
        <v>4000</v>
      </c>
      <c r="S186" s="90">
        <f>S162</f>
        <v>4000</v>
      </c>
      <c r="T186" s="90">
        <f>T162</f>
        <v>4000</v>
      </c>
      <c r="U186" s="90">
        <f>U162</f>
        <v>4000</v>
      </c>
      <c r="V186" s="90">
        <f>V162</f>
        <v>4000</v>
      </c>
      <c r="W186" s="90">
        <f>W162</f>
        <v>4000</v>
      </c>
      <c r="X186" s="90">
        <f>X162</f>
        <v>4000</v>
      </c>
      <c r="Y186" s="90">
        <f>Y162</f>
        <v>4000</v>
      </c>
      <c r="Z186" s="90">
        <f>Z162</f>
        <v>4000</v>
      </c>
      <c r="AA186" s="90">
        <f>AA162</f>
        <v>4000</v>
      </c>
      <c r="AB186" s="90">
        <f>AB162</f>
        <v>4000</v>
      </c>
      <c r="AC186" s="90">
        <f>AC162</f>
        <v>4000</v>
      </c>
      <c r="AD186" s="90">
        <f>AD162</f>
        <v>4000</v>
      </c>
      <c r="AE186" s="90">
        <f>AE162</f>
        <v>4000</v>
      </c>
      <c r="AF186" s="90">
        <f>AF162</f>
        <v>4000</v>
      </c>
    </row>
    <row r="187" spans="1:32" x14ac:dyDescent="0.2">
      <c r="A187" s="85" t="s">
        <v>147</v>
      </c>
      <c r="B187" s="88" t="s">
        <v>49</v>
      </c>
      <c r="C187" s="90"/>
      <c r="D187" s="90"/>
      <c r="E187" s="90"/>
      <c r="F187" s="90">
        <f>F176</f>
        <v>0</v>
      </c>
      <c r="G187" s="90">
        <f t="shared" ref="G187:AF187" si="77">G176</f>
        <v>0</v>
      </c>
      <c r="H187" s="90">
        <f t="shared" si="77"/>
        <v>0</v>
      </c>
      <c r="I187" s="90">
        <f t="shared" si="77"/>
        <v>0</v>
      </c>
      <c r="J187" s="90">
        <f t="shared" si="77"/>
        <v>0</v>
      </c>
      <c r="K187" s="90">
        <f t="shared" si="77"/>
        <v>6373.4584922479698</v>
      </c>
      <c r="L187" s="90">
        <f t="shared" si="77"/>
        <v>9370.5225199208417</v>
      </c>
      <c r="M187" s="90">
        <f t="shared" si="77"/>
        <v>10691.11136129385</v>
      </c>
      <c r="N187" s="90">
        <f t="shared" si="77"/>
        <v>12056.344151304747</v>
      </c>
      <c r="O187" s="90">
        <f t="shared" si="77"/>
        <v>13468.453087385416</v>
      </c>
      <c r="P187" s="90">
        <f t="shared" si="77"/>
        <v>14723.058172671621</v>
      </c>
      <c r="Q187" s="90">
        <f t="shared" si="77"/>
        <v>16010.73906662467</v>
      </c>
      <c r="R187" s="90">
        <f t="shared" si="77"/>
        <v>17332.818801591216</v>
      </c>
      <c r="S187" s="90">
        <f t="shared" si="77"/>
        <v>18690.673331211827</v>
      </c>
      <c r="T187" s="90">
        <f t="shared" si="77"/>
        <v>20085.733647272653</v>
      </c>
      <c r="U187" s="90">
        <f t="shared" si="77"/>
        <v>20840.266996280225</v>
      </c>
      <c r="V187" s="90">
        <f t="shared" si="77"/>
        <v>21617.436345758011</v>
      </c>
      <c r="W187" s="90">
        <f t="shared" si="77"/>
        <v>22417.920775720144</v>
      </c>
      <c r="X187" s="90">
        <f t="shared" si="77"/>
        <v>23242.419738581142</v>
      </c>
      <c r="Y187" s="90">
        <f t="shared" si="77"/>
        <v>24091.653670327963</v>
      </c>
      <c r="Z187" s="90">
        <f t="shared" si="77"/>
        <v>24966.364620027183</v>
      </c>
      <c r="AA187" s="90">
        <f t="shared" si="77"/>
        <v>25867.316898217396</v>
      </c>
      <c r="AB187" s="90">
        <f t="shared" si="77"/>
        <v>26795.297744753305</v>
      </c>
      <c r="AC187" s="90">
        <f t="shared" si="77"/>
        <v>27751.118016685286</v>
      </c>
      <c r="AD187" s="90">
        <f t="shared" si="77"/>
        <v>28735.612896775237</v>
      </c>
      <c r="AE187" s="90">
        <f t="shared" si="77"/>
        <v>32800.990883088118</v>
      </c>
      <c r="AF187" s="90">
        <f t="shared" si="77"/>
        <v>32800.990883088118</v>
      </c>
    </row>
    <row r="188" spans="1:32" s="5" customFormat="1" x14ac:dyDescent="0.2">
      <c r="A188" s="87" t="s">
        <v>148</v>
      </c>
      <c r="B188" s="92" t="s">
        <v>49</v>
      </c>
      <c r="C188" s="91"/>
      <c r="D188" s="91"/>
      <c r="E188" s="91"/>
      <c r="F188" s="91">
        <f>F181-SUM(F183:F187)</f>
        <v>36397.649518321465</v>
      </c>
      <c r="G188" s="91">
        <f t="shared" ref="G188:AF188" si="78">G181-SUM(G183:G187)</f>
        <v>45121.9264874777</v>
      </c>
      <c r="H188" s="91">
        <f t="shared" si="78"/>
        <v>54777.648321282089</v>
      </c>
      <c r="I188" s="91">
        <f t="shared" si="78"/>
        <v>57122.079168803437</v>
      </c>
      <c r="J188" s="91">
        <f t="shared" si="78"/>
        <v>60789.403918931668</v>
      </c>
      <c r="K188" s="91">
        <f t="shared" si="78"/>
        <v>57655.415622630273</v>
      </c>
      <c r="L188" s="91">
        <f t="shared" si="78"/>
        <v>58059.795300701313</v>
      </c>
      <c r="M188" s="91">
        <f t="shared" si="78"/>
        <v>60310.722350359429</v>
      </c>
      <c r="N188" s="91">
        <f t="shared" si="78"/>
        <v>62695.581245931186</v>
      </c>
      <c r="O188" s="91">
        <f t="shared" si="78"/>
        <v>65221.068579712301</v>
      </c>
      <c r="P188" s="91">
        <f t="shared" si="78"/>
        <v>67274.04436111002</v>
      </c>
      <c r="Q188" s="91">
        <f t="shared" si="78"/>
        <v>69426.247568508261</v>
      </c>
      <c r="R188" s="91">
        <f t="shared" si="78"/>
        <v>71681.647298946977</v>
      </c>
      <c r="S188" s="91">
        <f t="shared" si="78"/>
        <v>74044.371413347922</v>
      </c>
      <c r="T188" s="91">
        <f t="shared" si="78"/>
        <v>76518.712887069472</v>
      </c>
      <c r="U188" s="91">
        <f t="shared" si="78"/>
        <v>78782.312934092188</v>
      </c>
      <c r="V188" s="91">
        <f t="shared" si="78"/>
        <v>81113.820982525562</v>
      </c>
      <c r="W188" s="91">
        <f t="shared" si="78"/>
        <v>83515.274272411945</v>
      </c>
      <c r="X188" s="91">
        <f t="shared" si="78"/>
        <v>85988.771160994947</v>
      </c>
      <c r="Y188" s="91">
        <f t="shared" si="78"/>
        <v>88536.472956235404</v>
      </c>
      <c r="Z188" s="91">
        <f t="shared" si="78"/>
        <v>91160.605805333063</v>
      </c>
      <c r="AA188" s="91">
        <f t="shared" si="78"/>
        <v>93863.462639903708</v>
      </c>
      <c r="AB188" s="91">
        <f t="shared" si="78"/>
        <v>96647.405179511436</v>
      </c>
      <c r="AC188" s="91">
        <f t="shared" si="78"/>
        <v>99514.865995307395</v>
      </c>
      <c r="AD188" s="91">
        <f t="shared" si="78"/>
        <v>102468.35063557723</v>
      </c>
      <c r="AE188" s="91">
        <f t="shared" si="78"/>
        <v>98402.972649264382</v>
      </c>
      <c r="AF188" s="91">
        <f t="shared" si="78"/>
        <v>98402.972649264382</v>
      </c>
    </row>
    <row r="189" spans="1:32" x14ac:dyDescent="0.2">
      <c r="A189" s="86" t="s">
        <v>52</v>
      </c>
      <c r="B189" s="88" t="s">
        <v>49</v>
      </c>
      <c r="C189" s="90">
        <f>C119</f>
        <v>157897.58095583998</v>
      </c>
      <c r="D189" s="90">
        <f>D119</f>
        <v>211310.52711120003</v>
      </c>
      <c r="E189" s="90">
        <f>E119</f>
        <v>119860.10734895999</v>
      </c>
      <c r="F189" s="90"/>
      <c r="G189" s="90"/>
      <c r="H189" s="90"/>
      <c r="I189" s="90"/>
      <c r="J189" s="90"/>
      <c r="K189" s="90"/>
      <c r="L189" s="90"/>
      <c r="M189" s="90"/>
      <c r="N189" s="90"/>
      <c r="O189" s="90"/>
      <c r="P189" s="90"/>
      <c r="Q189" s="90"/>
      <c r="R189" s="90"/>
      <c r="S189" s="90"/>
      <c r="T189" s="90"/>
      <c r="U189" s="90"/>
      <c r="V189" s="90"/>
      <c r="W189" s="90"/>
      <c r="X189" s="90"/>
      <c r="Y189" s="90"/>
      <c r="Z189" s="90"/>
      <c r="AA189" s="90"/>
      <c r="AB189" s="90"/>
      <c r="AC189" s="90"/>
      <c r="AD189" s="90"/>
      <c r="AE189" s="90"/>
      <c r="AF189" s="90"/>
    </row>
    <row r="190" spans="1:32" s="5" customFormat="1" x14ac:dyDescent="0.2">
      <c r="A190" s="87" t="s">
        <v>149</v>
      </c>
      <c r="B190" s="88" t="s">
        <v>49</v>
      </c>
      <c r="C190" s="91">
        <f>C188-C189</f>
        <v>-157897.58095583998</v>
      </c>
      <c r="D190" s="91">
        <f t="shared" ref="D190:AF190" si="79">D188-D189</f>
        <v>-211310.52711120003</v>
      </c>
      <c r="E190" s="91">
        <f t="shared" si="79"/>
        <v>-119860.10734895999</v>
      </c>
      <c r="F190" s="91">
        <f>F188-F189</f>
        <v>36397.649518321465</v>
      </c>
      <c r="G190" s="91">
        <f t="shared" si="79"/>
        <v>45121.9264874777</v>
      </c>
      <c r="H190" s="91">
        <f t="shared" si="79"/>
        <v>54777.648321282089</v>
      </c>
      <c r="I190" s="91">
        <f t="shared" si="79"/>
        <v>57122.079168803437</v>
      </c>
      <c r="J190" s="91">
        <f t="shared" si="79"/>
        <v>60789.403918931668</v>
      </c>
      <c r="K190" s="91">
        <f t="shared" si="79"/>
        <v>57655.415622630273</v>
      </c>
      <c r="L190" s="91">
        <f t="shared" si="79"/>
        <v>58059.795300701313</v>
      </c>
      <c r="M190" s="91">
        <f t="shared" si="79"/>
        <v>60310.722350359429</v>
      </c>
      <c r="N190" s="91">
        <f t="shared" si="79"/>
        <v>62695.581245931186</v>
      </c>
      <c r="O190" s="91">
        <f t="shared" si="79"/>
        <v>65221.068579712301</v>
      </c>
      <c r="P190" s="91">
        <f t="shared" si="79"/>
        <v>67274.04436111002</v>
      </c>
      <c r="Q190" s="91">
        <f t="shared" si="79"/>
        <v>69426.247568508261</v>
      </c>
      <c r="R190" s="91">
        <f t="shared" si="79"/>
        <v>71681.647298946977</v>
      </c>
      <c r="S190" s="91">
        <f t="shared" si="79"/>
        <v>74044.371413347922</v>
      </c>
      <c r="T190" s="91">
        <f t="shared" si="79"/>
        <v>76518.712887069472</v>
      </c>
      <c r="U190" s="91">
        <f t="shared" si="79"/>
        <v>78782.312934092188</v>
      </c>
      <c r="V190" s="91">
        <f t="shared" si="79"/>
        <v>81113.820982525562</v>
      </c>
      <c r="W190" s="91">
        <f t="shared" si="79"/>
        <v>83515.274272411945</v>
      </c>
      <c r="X190" s="91">
        <f t="shared" si="79"/>
        <v>85988.771160994947</v>
      </c>
      <c r="Y190" s="91">
        <f t="shared" si="79"/>
        <v>88536.472956235404</v>
      </c>
      <c r="Z190" s="91">
        <f t="shared" si="79"/>
        <v>91160.605805333063</v>
      </c>
      <c r="AA190" s="91">
        <f t="shared" si="79"/>
        <v>93863.462639903708</v>
      </c>
      <c r="AB190" s="91">
        <f t="shared" si="79"/>
        <v>96647.405179511436</v>
      </c>
      <c r="AC190" s="91">
        <f t="shared" si="79"/>
        <v>99514.865995307395</v>
      </c>
      <c r="AD190" s="91">
        <f t="shared" si="79"/>
        <v>102468.35063557723</v>
      </c>
      <c r="AE190" s="91">
        <f t="shared" si="79"/>
        <v>98402.972649264382</v>
      </c>
      <c r="AF190" s="91">
        <f t="shared" si="79"/>
        <v>98402.972649264382</v>
      </c>
    </row>
    <row r="191" spans="1:32" x14ac:dyDescent="0.2">
      <c r="A191" s="1"/>
      <c r="B191" s="1"/>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row>
    <row r="192" spans="1:32" s="5" customFormat="1" x14ac:dyDescent="0.2">
      <c r="A192" s="87" t="s">
        <v>150</v>
      </c>
      <c r="B192" s="92" t="s">
        <v>49</v>
      </c>
      <c r="C192" s="91">
        <f>C190+C134</f>
        <v>-126318.06476467199</v>
      </c>
      <c r="D192" s="91">
        <f>D190+D134</f>
        <v>-63393.158133360033</v>
      </c>
      <c r="E192" s="91">
        <f>E190+E134</f>
        <v>0</v>
      </c>
      <c r="F192" s="91">
        <f>F190+F134</f>
        <v>19289.254773712386</v>
      </c>
      <c r="G192" s="91">
        <f>G190+G134</f>
        <v>28013.531742868621</v>
      </c>
      <c r="H192" s="91">
        <f>H190+H134</f>
        <v>37669.253576673014</v>
      </c>
      <c r="I192" s="91">
        <f>I190+I134</f>
        <v>40013.684424194362</v>
      </c>
      <c r="J192" s="91">
        <f>J190+J134</f>
        <v>12574.836911396997</v>
      </c>
      <c r="K192" s="91">
        <f>K190+K134</f>
        <v>11151.688089556505</v>
      </c>
      <c r="L192" s="91">
        <f>L190+L134</f>
        <v>13266.907242088455</v>
      </c>
      <c r="M192" s="91">
        <f>M190+M134</f>
        <v>17228.673766207474</v>
      </c>
      <c r="N192" s="91">
        <f>N190+N134</f>
        <v>21324.372136240141</v>
      </c>
      <c r="O192" s="91">
        <f>O190+O134</f>
        <v>25560.698944482167</v>
      </c>
      <c r="P192" s="91">
        <f>P190+P134</f>
        <v>29324.514200340789</v>
      </c>
      <c r="Q192" s="91">
        <f>Q190+Q134</f>
        <v>33187.55688219994</v>
      </c>
      <c r="R192" s="91">
        <f>R190+R134</f>
        <v>37153.796087099567</v>
      </c>
      <c r="S192" s="91">
        <f>S190+S134</f>
        <v>41227.359675961416</v>
      </c>
      <c r="T192" s="91">
        <f>T190+T134</f>
        <v>76518.712887069472</v>
      </c>
      <c r="U192" s="91">
        <f>U190+U134</f>
        <v>78782.312934092188</v>
      </c>
      <c r="V192" s="91">
        <f>V190+V134</f>
        <v>81113.820982525562</v>
      </c>
      <c r="W192" s="91">
        <f>W190+W134</f>
        <v>83515.274272411945</v>
      </c>
      <c r="X192" s="91">
        <f>X190+X134</f>
        <v>85988.771160994947</v>
      </c>
      <c r="Y192" s="91">
        <f>Y190+Y134</f>
        <v>88536.472956235404</v>
      </c>
      <c r="Z192" s="91">
        <f>Z190+Z134</f>
        <v>91160.605805333063</v>
      </c>
      <c r="AA192" s="91">
        <f>AA190+AA134</f>
        <v>93863.462639903708</v>
      </c>
      <c r="AB192" s="91">
        <f>AB190+AB134</f>
        <v>96647.405179511436</v>
      </c>
      <c r="AC192" s="91">
        <f>AC190+AC134</f>
        <v>99514.865995307395</v>
      </c>
      <c r="AD192" s="91">
        <f>AD190+AD134</f>
        <v>102468.35063557723</v>
      </c>
      <c r="AE192" s="91">
        <f>AE190+AE134</f>
        <v>98402.972649264382</v>
      </c>
      <c r="AF192" s="91">
        <f>AF190+AF134</f>
        <v>98402.972649264382</v>
      </c>
    </row>
    <row r="193" spans="1:32" x14ac:dyDescent="0.2">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row>
    <row r="194" spans="1:32" x14ac:dyDescent="0.2">
      <c r="A194" s="107" t="s">
        <v>160</v>
      </c>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row>
    <row r="195" spans="1:32" x14ac:dyDescent="0.2">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row>
    <row r="196" spans="1:32" x14ac:dyDescent="0.2">
      <c r="A196" s="108" t="s">
        <v>152</v>
      </c>
      <c r="B196" s="89" t="s">
        <v>49</v>
      </c>
      <c r="C196" s="90">
        <f>C133</f>
        <v>31579.516191167997</v>
      </c>
      <c r="D196" s="90">
        <f>D133</f>
        <v>181233.75855952222</v>
      </c>
      <c r="E196" s="90">
        <f>E133</f>
        <v>311061.72262925596</v>
      </c>
      <c r="F196" s="90">
        <f>F133</f>
        <v>311061.72262925596</v>
      </c>
      <c r="G196" s="90">
        <f>G133</f>
        <v>311061.72262925596</v>
      </c>
      <c r="H196" s="90">
        <f>H133</f>
        <v>311061.72262925596</v>
      </c>
      <c r="I196" s="90">
        <f>I133</f>
        <v>311061.72262925596</v>
      </c>
      <c r="J196" s="90">
        <f>J133</f>
        <v>279955.55036633037</v>
      </c>
      <c r="K196" s="90">
        <f>K133</f>
        <v>248849.37810340477</v>
      </c>
      <c r="L196" s="90">
        <f>L133</f>
        <v>217743.20584047918</v>
      </c>
      <c r="M196" s="90">
        <f>M133</f>
        <v>186637.03357755358</v>
      </c>
      <c r="N196" s="90">
        <f>N133</f>
        <v>155530.86131462798</v>
      </c>
      <c r="O196" s="90">
        <f>O133</f>
        <v>124424.68905170239</v>
      </c>
      <c r="P196" s="90">
        <f>P133</f>
        <v>93318.516788776789</v>
      </c>
      <c r="Q196" s="90">
        <f>Q133</f>
        <v>62212.344525851193</v>
      </c>
      <c r="R196" s="90">
        <f>R133</f>
        <v>31106.172262925596</v>
      </c>
      <c r="S196" s="90">
        <f>S133</f>
        <v>0</v>
      </c>
      <c r="T196" s="90">
        <f>T133</f>
        <v>0</v>
      </c>
      <c r="U196" s="90">
        <f>U133</f>
        <v>0</v>
      </c>
      <c r="V196" s="90">
        <f>V133</f>
        <v>0</v>
      </c>
      <c r="W196" s="90">
        <f>W133</f>
        <v>0</v>
      </c>
      <c r="X196" s="90">
        <f>X133</f>
        <v>0</v>
      </c>
      <c r="Y196" s="90">
        <f>Y133</f>
        <v>0</v>
      </c>
      <c r="Z196" s="90">
        <f>Z133</f>
        <v>0</v>
      </c>
      <c r="AA196" s="90">
        <f>AA133</f>
        <v>0</v>
      </c>
      <c r="AB196" s="90">
        <f>AB133</f>
        <v>0</v>
      </c>
      <c r="AC196" s="90">
        <f>AC133</f>
        <v>0</v>
      </c>
      <c r="AD196" s="90">
        <f>AD133</f>
        <v>0</v>
      </c>
      <c r="AE196" s="90">
        <f>AE133</f>
        <v>0</v>
      </c>
      <c r="AF196" s="90">
        <f>AF133</f>
        <v>0</v>
      </c>
    </row>
    <row r="197" spans="1:32" x14ac:dyDescent="0.2">
      <c r="A197" s="108" t="s">
        <v>153</v>
      </c>
      <c r="B197" s="89" t="s">
        <v>49</v>
      </c>
      <c r="C197" s="90">
        <f>-$C$192</f>
        <v>126318.06476467199</v>
      </c>
      <c r="D197" s="90">
        <f t="shared" ref="D197:AF197" si="80">-$C$192</f>
        <v>126318.06476467199</v>
      </c>
      <c r="E197" s="90">
        <f t="shared" si="80"/>
        <v>126318.06476467199</v>
      </c>
      <c r="F197" s="90">
        <f t="shared" si="80"/>
        <v>126318.06476467199</v>
      </c>
      <c r="G197" s="90">
        <f t="shared" si="80"/>
        <v>126318.06476467199</v>
      </c>
      <c r="H197" s="90">
        <f t="shared" si="80"/>
        <v>126318.06476467199</v>
      </c>
      <c r="I197" s="90">
        <f t="shared" si="80"/>
        <v>126318.06476467199</v>
      </c>
      <c r="J197" s="90">
        <f t="shared" si="80"/>
        <v>126318.06476467199</v>
      </c>
      <c r="K197" s="90">
        <f t="shared" si="80"/>
        <v>126318.06476467199</v>
      </c>
      <c r="L197" s="90">
        <f t="shared" si="80"/>
        <v>126318.06476467199</v>
      </c>
      <c r="M197" s="90">
        <f t="shared" si="80"/>
        <v>126318.06476467199</v>
      </c>
      <c r="N197" s="90">
        <f t="shared" si="80"/>
        <v>126318.06476467199</v>
      </c>
      <c r="O197" s="90">
        <f t="shared" si="80"/>
        <v>126318.06476467199</v>
      </c>
      <c r="P197" s="90">
        <f t="shared" si="80"/>
        <v>126318.06476467199</v>
      </c>
      <c r="Q197" s="90">
        <f t="shared" si="80"/>
        <v>126318.06476467199</v>
      </c>
      <c r="R197" s="90">
        <f t="shared" si="80"/>
        <v>126318.06476467199</v>
      </c>
      <c r="S197" s="90">
        <f t="shared" si="80"/>
        <v>126318.06476467199</v>
      </c>
      <c r="T197" s="90">
        <f t="shared" si="80"/>
        <v>126318.06476467199</v>
      </c>
      <c r="U197" s="90">
        <f t="shared" si="80"/>
        <v>126318.06476467199</v>
      </c>
      <c r="V197" s="90">
        <f t="shared" si="80"/>
        <v>126318.06476467199</v>
      </c>
      <c r="W197" s="90">
        <f t="shared" si="80"/>
        <v>126318.06476467199</v>
      </c>
      <c r="X197" s="90">
        <f t="shared" si="80"/>
        <v>126318.06476467199</v>
      </c>
      <c r="Y197" s="90">
        <f t="shared" si="80"/>
        <v>126318.06476467199</v>
      </c>
      <c r="Z197" s="90">
        <f t="shared" si="80"/>
        <v>126318.06476467199</v>
      </c>
      <c r="AA197" s="90">
        <f t="shared" si="80"/>
        <v>126318.06476467199</v>
      </c>
      <c r="AB197" s="90">
        <f t="shared" si="80"/>
        <v>126318.06476467199</v>
      </c>
      <c r="AC197" s="90">
        <f t="shared" si="80"/>
        <v>126318.06476467199</v>
      </c>
      <c r="AD197" s="90">
        <f t="shared" si="80"/>
        <v>126318.06476467199</v>
      </c>
      <c r="AE197" s="90">
        <f t="shared" si="80"/>
        <v>126318.06476467199</v>
      </c>
      <c r="AF197" s="90">
        <f t="shared" si="80"/>
        <v>126318.06476467199</v>
      </c>
    </row>
    <row r="198" spans="1:32" x14ac:dyDescent="0.2">
      <c r="A198" s="108" t="s">
        <v>154</v>
      </c>
      <c r="B198" s="89"/>
      <c r="C198" s="90">
        <f>C196/(C196+C197)</f>
        <v>0.2</v>
      </c>
      <c r="D198" s="90">
        <f t="shared" ref="D198:AF198" si="81">D196/(D196+D197)</f>
        <v>0.58927876479692165</v>
      </c>
      <c r="E198" s="90">
        <f t="shared" si="81"/>
        <v>0.71119363901719801</v>
      </c>
      <c r="F198" s="90">
        <f t="shared" si="81"/>
        <v>0.71119363901719801</v>
      </c>
      <c r="G198" s="90">
        <f t="shared" si="81"/>
        <v>0.71119363901719801</v>
      </c>
      <c r="H198" s="90">
        <f t="shared" si="81"/>
        <v>0.71119363901719801</v>
      </c>
      <c r="I198" s="90">
        <f t="shared" si="81"/>
        <v>0.71119363901719801</v>
      </c>
      <c r="J198" s="90">
        <f t="shared" si="81"/>
        <v>0.68908129875984947</v>
      </c>
      <c r="K198" s="90">
        <f t="shared" si="81"/>
        <v>0.66330216769611794</v>
      </c>
      <c r="L198" s="90">
        <f t="shared" si="81"/>
        <v>0.63286171517503886</v>
      </c>
      <c r="M198" s="90">
        <f t="shared" si="81"/>
        <v>0.59637000504609305</v>
      </c>
      <c r="N198" s="90">
        <f t="shared" si="81"/>
        <v>0.55182350161188265</v>
      </c>
      <c r="O198" s="90">
        <f t="shared" si="81"/>
        <v>0.49622446574397089</v>
      </c>
      <c r="P198" s="90">
        <f t="shared" si="81"/>
        <v>0.424876931377971</v>
      </c>
      <c r="Q198" s="90">
        <f t="shared" si="81"/>
        <v>0.32998572888038813</v>
      </c>
      <c r="R198" s="90">
        <f t="shared" si="81"/>
        <v>0.19759455627834782</v>
      </c>
      <c r="S198" s="90">
        <f t="shared" si="81"/>
        <v>0</v>
      </c>
      <c r="T198" s="90">
        <f t="shared" si="81"/>
        <v>0</v>
      </c>
      <c r="U198" s="90">
        <f t="shared" si="81"/>
        <v>0</v>
      </c>
      <c r="V198" s="90">
        <f t="shared" si="81"/>
        <v>0</v>
      </c>
      <c r="W198" s="90">
        <f t="shared" si="81"/>
        <v>0</v>
      </c>
      <c r="X198" s="90">
        <f t="shared" si="81"/>
        <v>0</v>
      </c>
      <c r="Y198" s="90">
        <f t="shared" si="81"/>
        <v>0</v>
      </c>
      <c r="Z198" s="90">
        <f t="shared" si="81"/>
        <v>0</v>
      </c>
      <c r="AA198" s="90">
        <f t="shared" si="81"/>
        <v>0</v>
      </c>
      <c r="AB198" s="90">
        <f t="shared" si="81"/>
        <v>0</v>
      </c>
      <c r="AC198" s="90">
        <f t="shared" si="81"/>
        <v>0</v>
      </c>
      <c r="AD198" s="90">
        <f t="shared" si="81"/>
        <v>0</v>
      </c>
      <c r="AE198" s="90">
        <f t="shared" si="81"/>
        <v>0</v>
      </c>
      <c r="AF198" s="90">
        <f t="shared" si="81"/>
        <v>0</v>
      </c>
    </row>
    <row r="199" spans="1:32" x14ac:dyDescent="0.2">
      <c r="A199" s="108" t="s">
        <v>155</v>
      </c>
      <c r="B199" s="89"/>
      <c r="C199" s="90">
        <f>C197/(C196+C197)</f>
        <v>0.8</v>
      </c>
      <c r="D199" s="90">
        <f t="shared" ref="D199:AF199" si="82">D197/(D196+D197)</f>
        <v>0.41072123520307846</v>
      </c>
      <c r="E199" s="90">
        <f t="shared" si="82"/>
        <v>0.2888063609828021</v>
      </c>
      <c r="F199" s="90">
        <f t="shared" si="82"/>
        <v>0.2888063609828021</v>
      </c>
      <c r="G199" s="90">
        <f t="shared" si="82"/>
        <v>0.2888063609828021</v>
      </c>
      <c r="H199" s="90">
        <f t="shared" si="82"/>
        <v>0.2888063609828021</v>
      </c>
      <c r="I199" s="90">
        <f t="shared" si="82"/>
        <v>0.2888063609828021</v>
      </c>
      <c r="J199" s="90">
        <f t="shared" si="82"/>
        <v>0.31091870124015042</v>
      </c>
      <c r="K199" s="90">
        <f t="shared" si="82"/>
        <v>0.33669783230388217</v>
      </c>
      <c r="L199" s="90">
        <f t="shared" si="82"/>
        <v>0.36713828482496103</v>
      </c>
      <c r="M199" s="90">
        <f t="shared" si="82"/>
        <v>0.40362999495390706</v>
      </c>
      <c r="N199" s="90">
        <f t="shared" si="82"/>
        <v>0.44817649838811729</v>
      </c>
      <c r="O199" s="90">
        <f t="shared" si="82"/>
        <v>0.50377553425602917</v>
      </c>
      <c r="P199" s="90">
        <f t="shared" si="82"/>
        <v>0.575123068622029</v>
      </c>
      <c r="Q199" s="90">
        <f t="shared" si="82"/>
        <v>0.67001427111961187</v>
      </c>
      <c r="R199" s="90">
        <f t="shared" si="82"/>
        <v>0.80240544372165223</v>
      </c>
      <c r="S199" s="90">
        <f t="shared" si="82"/>
        <v>1</v>
      </c>
      <c r="T199" s="90">
        <f t="shared" si="82"/>
        <v>1</v>
      </c>
      <c r="U199" s="90">
        <f t="shared" si="82"/>
        <v>1</v>
      </c>
      <c r="V199" s="90">
        <f t="shared" si="82"/>
        <v>1</v>
      </c>
      <c r="W199" s="90">
        <f t="shared" si="82"/>
        <v>1</v>
      </c>
      <c r="X199" s="90">
        <f t="shared" si="82"/>
        <v>1</v>
      </c>
      <c r="Y199" s="90">
        <f t="shared" si="82"/>
        <v>1</v>
      </c>
      <c r="Z199" s="90">
        <f t="shared" si="82"/>
        <v>1</v>
      </c>
      <c r="AA199" s="90">
        <f t="shared" si="82"/>
        <v>1</v>
      </c>
      <c r="AB199" s="90">
        <f t="shared" si="82"/>
        <v>1</v>
      </c>
      <c r="AC199" s="90">
        <f t="shared" si="82"/>
        <v>1</v>
      </c>
      <c r="AD199" s="90">
        <f t="shared" si="82"/>
        <v>1</v>
      </c>
      <c r="AE199" s="90">
        <f t="shared" si="82"/>
        <v>1</v>
      </c>
      <c r="AF199" s="90">
        <f t="shared" si="82"/>
        <v>1</v>
      </c>
    </row>
    <row r="200" spans="1:32" x14ac:dyDescent="0.2">
      <c r="A200" s="108" t="s">
        <v>156</v>
      </c>
      <c r="B200" s="89"/>
      <c r="C200" s="90">
        <f>C198*$C$53+C199*$C$84</f>
        <v>0.107</v>
      </c>
      <c r="D200" s="90">
        <f t="shared" ref="D200:AF200" si="83">D198*$C$53+D199*$C$84</f>
        <v>8.1696880288200102E-2</v>
      </c>
      <c r="E200" s="90">
        <f t="shared" si="83"/>
        <v>7.3772413463882136E-2</v>
      </c>
      <c r="F200" s="90">
        <f t="shared" si="83"/>
        <v>7.3772413463882136E-2</v>
      </c>
      <c r="G200" s="90">
        <f t="shared" si="83"/>
        <v>7.3772413463882136E-2</v>
      </c>
      <c r="H200" s="90">
        <f t="shared" si="83"/>
        <v>7.3772413463882136E-2</v>
      </c>
      <c r="I200" s="90">
        <f t="shared" si="83"/>
        <v>7.3772413463882136E-2</v>
      </c>
      <c r="J200" s="90">
        <f t="shared" si="83"/>
        <v>7.5209715580609765E-2</v>
      </c>
      <c r="K200" s="90">
        <f t="shared" si="83"/>
        <v>7.6885359099752346E-2</v>
      </c>
      <c r="L200" s="90">
        <f t="shared" si="83"/>
        <v>7.886398851362246E-2</v>
      </c>
      <c r="M200" s="90">
        <f t="shared" si="83"/>
        <v>8.1235949672003954E-2</v>
      </c>
      <c r="N200" s="90">
        <f t="shared" si="83"/>
        <v>8.4131472395227627E-2</v>
      </c>
      <c r="O200" s="90">
        <f t="shared" si="83"/>
        <v>8.7745409726641896E-2</v>
      </c>
      <c r="P200" s="90">
        <f t="shared" si="83"/>
        <v>9.238299946043188E-2</v>
      </c>
      <c r="Q200" s="90">
        <f t="shared" si="83"/>
        <v>9.8550927622774773E-2</v>
      </c>
      <c r="R200" s="90">
        <f t="shared" si="83"/>
        <v>0.1071563538419074</v>
      </c>
      <c r="S200" s="90">
        <f t="shared" si="83"/>
        <v>0.12</v>
      </c>
      <c r="T200" s="90">
        <f t="shared" si="83"/>
        <v>0.12</v>
      </c>
      <c r="U200" s="90">
        <f t="shared" si="83"/>
        <v>0.12</v>
      </c>
      <c r="V200" s="90">
        <f t="shared" si="83"/>
        <v>0.12</v>
      </c>
      <c r="W200" s="90">
        <f t="shared" si="83"/>
        <v>0.12</v>
      </c>
      <c r="X200" s="90">
        <f t="shared" si="83"/>
        <v>0.12</v>
      </c>
      <c r="Y200" s="90">
        <f t="shared" si="83"/>
        <v>0.12</v>
      </c>
      <c r="Z200" s="90">
        <f t="shared" si="83"/>
        <v>0.12</v>
      </c>
      <c r="AA200" s="90">
        <f t="shared" si="83"/>
        <v>0.12</v>
      </c>
      <c r="AB200" s="90">
        <f t="shared" si="83"/>
        <v>0.12</v>
      </c>
      <c r="AC200" s="90">
        <f t="shared" si="83"/>
        <v>0.12</v>
      </c>
      <c r="AD200" s="90">
        <f t="shared" si="83"/>
        <v>0.12</v>
      </c>
      <c r="AE200" s="90">
        <f t="shared" si="83"/>
        <v>0.12</v>
      </c>
      <c r="AF200" s="90">
        <f t="shared" si="83"/>
        <v>0.12</v>
      </c>
    </row>
    <row r="201" spans="1:32" x14ac:dyDescent="0.2">
      <c r="A201" s="108" t="s">
        <v>157</v>
      </c>
      <c r="B201" s="89"/>
      <c r="C201" s="90">
        <f>AVERAGE(C200:AF200)</f>
        <v>0.10065737078401947</v>
      </c>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c r="AB201" s="90"/>
      <c r="AC201" s="90"/>
      <c r="AD201" s="90"/>
      <c r="AE201" s="90"/>
      <c r="AF201" s="90"/>
    </row>
    <row r="202" spans="1:32" x14ac:dyDescent="0.2">
      <c r="A202" s="109" t="s">
        <v>158</v>
      </c>
      <c r="B202" s="91">
        <f>NPV(C201,D190:AF190)+C190</f>
        <v>27129.676445706398</v>
      </c>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c r="AB202" s="90"/>
      <c r="AC202" s="90"/>
      <c r="AD202" s="90"/>
      <c r="AE202" s="90"/>
      <c r="AF202" s="90"/>
    </row>
    <row r="203" spans="1:32" x14ac:dyDescent="0.2">
      <c r="A203" s="109" t="s">
        <v>159</v>
      </c>
      <c r="B203" s="129">
        <f>IRR(C190:AF190)</f>
        <v>0.10634443766891133</v>
      </c>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c r="AB203" s="90"/>
      <c r="AC203" s="90"/>
      <c r="AD203" s="90"/>
      <c r="AE203" s="90"/>
      <c r="AF203" s="90"/>
    </row>
    <row r="204" spans="1:32" x14ac:dyDescent="0.2">
      <c r="A204" s="109" t="s">
        <v>162</v>
      </c>
      <c r="B204" s="89"/>
      <c r="C204" s="90">
        <f>C190/-C134</f>
        <v>5</v>
      </c>
      <c r="D204" s="90">
        <f>D190/-D134</f>
        <v>1.4285714285714288</v>
      </c>
      <c r="E204" s="90">
        <f>E190/-E134</f>
        <v>1</v>
      </c>
      <c r="F204" s="90">
        <f>F190/-F134</f>
        <v>2.1274730950307599</v>
      </c>
      <c r="G204" s="90">
        <f>G190/-G134</f>
        <v>2.6374143898974385</v>
      </c>
      <c r="H204" s="90">
        <f>H190/-H134</f>
        <v>3.201799417127825</v>
      </c>
      <c r="I204" s="90">
        <f>I190/-I134</f>
        <v>3.3388333634751342</v>
      </c>
      <c r="J204" s="90">
        <f>J190/-J134</f>
        <v>1.2608099106112864</v>
      </c>
      <c r="K204" s="90">
        <f>K190/-K134</f>
        <v>1.2398020262273675</v>
      </c>
      <c r="L204" s="90">
        <f>L190/-L134</f>
        <v>1.2961833410859398</v>
      </c>
      <c r="M204" s="90">
        <f>M190/-M134</f>
        <v>1.3999037727408619</v>
      </c>
      <c r="N204" s="90">
        <f>N190/-N134</f>
        <v>1.5154399060395116</v>
      </c>
      <c r="O204" s="90">
        <f>O190/-O134</f>
        <v>1.6444896802418278</v>
      </c>
      <c r="P204" s="90">
        <f>P190/-P134</f>
        <v>1.7727240383770375</v>
      </c>
      <c r="Q204" s="90">
        <f>Q190/-Q134</f>
        <v>1.9158045242164017</v>
      </c>
      <c r="R204" s="90">
        <f>R190/-R134</f>
        <v>2.0760529480719936</v>
      </c>
      <c r="S204" s="90">
        <f>S190/-S134</f>
        <v>2.2562801270840116</v>
      </c>
      <c r="T204" s="90"/>
      <c r="U204" s="90"/>
      <c r="V204" s="90"/>
      <c r="W204" s="90"/>
      <c r="X204" s="90"/>
      <c r="Y204" s="90"/>
      <c r="Z204" s="90"/>
      <c r="AA204" s="90"/>
      <c r="AB204" s="90"/>
      <c r="AC204" s="90"/>
      <c r="AD204" s="90"/>
      <c r="AE204" s="90"/>
      <c r="AF204" s="90"/>
    </row>
    <row r="205" spans="1:32" x14ac:dyDescent="0.2">
      <c r="A205" s="109" t="s">
        <v>163</v>
      </c>
      <c r="B205" s="91">
        <f>AVERAGE(C204:S204)</f>
        <v>2.0653871746352253</v>
      </c>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c r="AB205" s="90"/>
      <c r="AC205" s="90"/>
      <c r="AD205" s="90"/>
      <c r="AE205" s="90"/>
      <c r="AF205" s="90"/>
    </row>
    <row r="207" spans="1:32" x14ac:dyDescent="0.2">
      <c r="A207" s="107" t="s">
        <v>161</v>
      </c>
    </row>
    <row r="208" spans="1:32" x14ac:dyDescent="0.2">
      <c r="A208" s="110" t="s">
        <v>158</v>
      </c>
      <c r="B208" s="91">
        <f>NPV(C84,D192:AF192)+C192</f>
        <v>41666.136610903835</v>
      </c>
    </row>
    <row r="209" spans="1:9" x14ac:dyDescent="0.2">
      <c r="A209" s="110" t="s">
        <v>159</v>
      </c>
      <c r="B209" s="129">
        <f>IRR(C192:AF192)</f>
        <v>0.138191911340388</v>
      </c>
    </row>
    <row r="214" spans="1:9" x14ac:dyDescent="0.2">
      <c r="A214" s="10" t="s">
        <v>164</v>
      </c>
      <c r="B214" s="111" t="s">
        <v>165</v>
      </c>
      <c r="C214" s="112"/>
      <c r="D214" s="112"/>
      <c r="E214" s="112"/>
      <c r="F214" s="112"/>
      <c r="G214" s="112"/>
      <c r="H214" s="112"/>
      <c r="I214" s="113"/>
    </row>
    <row r="215" spans="1:9" x14ac:dyDescent="0.2">
      <c r="B215" s="114"/>
      <c r="C215" s="115"/>
      <c r="D215" s="115"/>
      <c r="E215" s="115"/>
      <c r="F215" s="115"/>
      <c r="G215" s="115"/>
      <c r="H215" s="115"/>
      <c r="I215" s="116"/>
    </row>
    <row r="216" spans="1:9" x14ac:dyDescent="0.2">
      <c r="B216" s="114"/>
      <c r="C216" s="115"/>
      <c r="D216" s="115"/>
      <c r="E216" s="115"/>
      <c r="F216" s="115"/>
      <c r="G216" s="115"/>
      <c r="H216" s="115"/>
      <c r="I216" s="116"/>
    </row>
    <row r="217" spans="1:9" x14ac:dyDescent="0.2">
      <c r="B217" s="114"/>
      <c r="C217" s="115"/>
      <c r="D217" s="115"/>
      <c r="E217" s="115"/>
      <c r="F217" s="115"/>
      <c r="G217" s="115"/>
      <c r="H217" s="115"/>
      <c r="I217" s="116"/>
    </row>
    <row r="218" spans="1:9" x14ac:dyDescent="0.2">
      <c r="B218" s="114"/>
      <c r="C218" s="115"/>
      <c r="D218" s="115"/>
      <c r="E218" s="115"/>
      <c r="F218" s="115"/>
      <c r="G218" s="115"/>
      <c r="H218" s="115"/>
      <c r="I218" s="116"/>
    </row>
    <row r="219" spans="1:9" x14ac:dyDescent="0.2">
      <c r="B219" s="114"/>
      <c r="C219" s="115"/>
      <c r="D219" s="115"/>
      <c r="E219" s="115"/>
      <c r="F219" s="115"/>
      <c r="G219" s="115"/>
      <c r="H219" s="115"/>
      <c r="I219" s="116"/>
    </row>
    <row r="220" spans="1:9" x14ac:dyDescent="0.2">
      <c r="B220" s="114"/>
      <c r="C220" s="115"/>
      <c r="D220" s="115"/>
      <c r="E220" s="115"/>
      <c r="F220" s="115"/>
      <c r="G220" s="115"/>
      <c r="H220" s="115"/>
      <c r="I220" s="116"/>
    </row>
    <row r="221" spans="1:9" x14ac:dyDescent="0.2">
      <c r="B221" s="114"/>
      <c r="C221" s="115"/>
      <c r="D221" s="115"/>
      <c r="E221" s="115"/>
      <c r="F221" s="115"/>
      <c r="G221" s="115"/>
      <c r="H221" s="115"/>
      <c r="I221" s="116"/>
    </row>
    <row r="222" spans="1:9" x14ac:dyDescent="0.2">
      <c r="B222" s="114"/>
      <c r="C222" s="115"/>
      <c r="D222" s="115"/>
      <c r="E222" s="115"/>
      <c r="F222" s="115"/>
      <c r="G222" s="115"/>
      <c r="H222" s="115"/>
      <c r="I222" s="116"/>
    </row>
    <row r="223" spans="1:9" x14ac:dyDescent="0.2">
      <c r="B223" s="117"/>
      <c r="C223" s="118"/>
      <c r="D223" s="118"/>
      <c r="E223" s="118"/>
      <c r="F223" s="118"/>
      <c r="G223" s="118"/>
      <c r="H223" s="118"/>
      <c r="I223" s="119"/>
    </row>
  </sheetData>
  <mergeCells count="3">
    <mergeCell ref="D4:D5"/>
    <mergeCell ref="B214:I223"/>
    <mergeCell ref="A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2071F-3B22-754D-99EA-80027AC6501E}">
  <dimension ref="A1:AF254"/>
  <sheetViews>
    <sheetView tabSelected="1" workbookViewId="0">
      <pane ySplit="2" topLeftCell="A3" activePane="bottomLeft" state="frozen"/>
      <selection pane="bottomLeft" activeCell="B224" sqref="B224"/>
    </sheetView>
  </sheetViews>
  <sheetFormatPr baseColWidth="10" defaultRowHeight="16" x14ac:dyDescent="0.2"/>
  <cols>
    <col min="1" max="1" width="54.83203125" customWidth="1"/>
    <col min="2" max="2" width="19.5" customWidth="1"/>
    <col min="3" max="3" width="13.33203125" bestFit="1" customWidth="1"/>
    <col min="4" max="32" width="11.6640625" bestFit="1" customWidth="1"/>
  </cols>
  <sheetData>
    <row r="1" spans="1:32" x14ac:dyDescent="0.2">
      <c r="B1" s="5" t="s">
        <v>0</v>
      </c>
      <c r="C1" s="5">
        <v>2024</v>
      </c>
      <c r="D1" s="5">
        <v>2025</v>
      </c>
      <c r="E1" s="5">
        <v>2026</v>
      </c>
      <c r="F1" s="5">
        <v>2027</v>
      </c>
      <c r="G1" s="5">
        <v>2028</v>
      </c>
      <c r="H1" s="5">
        <v>2029</v>
      </c>
      <c r="I1" s="5">
        <v>2030</v>
      </c>
      <c r="J1" s="5">
        <v>2031</v>
      </c>
      <c r="K1" s="5">
        <v>2032</v>
      </c>
      <c r="L1" s="5">
        <v>2033</v>
      </c>
      <c r="M1" s="5">
        <v>2034</v>
      </c>
      <c r="N1" s="5">
        <v>2035</v>
      </c>
      <c r="O1" s="5">
        <v>2036</v>
      </c>
      <c r="P1" s="5">
        <v>2037</v>
      </c>
      <c r="Q1" s="5">
        <v>2038</v>
      </c>
      <c r="R1" s="5">
        <v>2039</v>
      </c>
      <c r="S1" s="5">
        <v>2040</v>
      </c>
      <c r="T1" s="5">
        <v>2041</v>
      </c>
      <c r="U1" s="5">
        <v>2042</v>
      </c>
      <c r="V1" s="5">
        <v>2043</v>
      </c>
      <c r="W1" s="5">
        <v>2044</v>
      </c>
      <c r="X1" s="5">
        <v>2045</v>
      </c>
      <c r="Y1" s="5">
        <v>2046</v>
      </c>
      <c r="Z1" s="5">
        <v>2047</v>
      </c>
      <c r="AA1" s="5">
        <v>2048</v>
      </c>
      <c r="AB1" s="5">
        <v>2049</v>
      </c>
      <c r="AC1" s="5">
        <v>2050</v>
      </c>
      <c r="AD1" s="5">
        <v>2051</v>
      </c>
      <c r="AE1" s="5">
        <v>2052</v>
      </c>
      <c r="AF1" s="5">
        <v>2053</v>
      </c>
    </row>
    <row r="2" spans="1:32" x14ac:dyDescent="0.2">
      <c r="A2" s="17"/>
      <c r="B2" s="5" t="s">
        <v>1</v>
      </c>
      <c r="C2" s="5">
        <v>0</v>
      </c>
      <c r="D2" s="5">
        <v>1</v>
      </c>
      <c r="E2" s="5">
        <v>2</v>
      </c>
      <c r="F2" s="5">
        <v>3</v>
      </c>
      <c r="G2" s="5">
        <v>4</v>
      </c>
      <c r="H2" s="5">
        <v>5</v>
      </c>
      <c r="I2" s="5">
        <v>6</v>
      </c>
      <c r="J2" s="5">
        <v>7</v>
      </c>
      <c r="K2" s="5">
        <v>8</v>
      </c>
      <c r="L2" s="5">
        <v>9</v>
      </c>
      <c r="M2" s="5">
        <v>10</v>
      </c>
      <c r="N2" s="5">
        <v>11</v>
      </c>
      <c r="O2" s="5">
        <v>12</v>
      </c>
      <c r="P2" s="5">
        <v>13</v>
      </c>
      <c r="Q2" s="5">
        <v>14</v>
      </c>
      <c r="R2" s="5">
        <v>15</v>
      </c>
      <c r="S2" s="5">
        <v>16</v>
      </c>
      <c r="T2" s="5">
        <v>17</v>
      </c>
      <c r="U2" s="5">
        <v>18</v>
      </c>
      <c r="V2" s="5">
        <v>19</v>
      </c>
      <c r="W2" s="5">
        <v>20</v>
      </c>
      <c r="X2" s="5">
        <v>21</v>
      </c>
      <c r="Y2" s="5">
        <v>22</v>
      </c>
      <c r="Z2" s="5">
        <v>23</v>
      </c>
      <c r="AA2" s="5">
        <v>24</v>
      </c>
      <c r="AB2" s="5">
        <v>25</v>
      </c>
      <c r="AC2" s="5">
        <v>26</v>
      </c>
      <c r="AD2" s="5">
        <v>27</v>
      </c>
      <c r="AE2" s="5">
        <v>28</v>
      </c>
      <c r="AF2" s="5">
        <v>29</v>
      </c>
    </row>
    <row r="3" spans="1:32" x14ac:dyDescent="0.2">
      <c r="A3" s="94" t="s">
        <v>179</v>
      </c>
      <c r="B3" s="94"/>
      <c r="C3" s="94"/>
      <c r="D3" s="94"/>
      <c r="E3" s="94"/>
      <c r="F3" s="5"/>
      <c r="G3" s="5"/>
      <c r="H3" s="5"/>
      <c r="I3" s="5"/>
      <c r="J3" s="5"/>
      <c r="K3" s="5"/>
      <c r="L3" s="5"/>
      <c r="M3" s="5"/>
      <c r="N3" s="5"/>
      <c r="O3" s="5"/>
      <c r="P3" s="5"/>
      <c r="Q3" s="5"/>
      <c r="R3" s="5"/>
      <c r="S3" s="5"/>
      <c r="T3" s="5"/>
      <c r="U3" s="5"/>
      <c r="V3" s="5"/>
      <c r="W3" s="5"/>
      <c r="X3" s="5"/>
      <c r="Y3" s="5"/>
      <c r="Z3" s="5"/>
      <c r="AA3" s="5"/>
      <c r="AB3" s="5"/>
      <c r="AC3" s="5"/>
      <c r="AD3" s="5"/>
      <c r="AE3" s="5"/>
      <c r="AF3" s="5"/>
    </row>
    <row r="4" spans="1:32" x14ac:dyDescent="0.2">
      <c r="A4" s="24" t="s">
        <v>167</v>
      </c>
      <c r="B4" s="25"/>
      <c r="C4" s="26">
        <v>0.08</v>
      </c>
      <c r="D4" s="25"/>
      <c r="E4" s="27"/>
    </row>
    <row r="5" spans="1:32" x14ac:dyDescent="0.2">
      <c r="A5" s="28" t="s">
        <v>168</v>
      </c>
      <c r="B5" s="18"/>
      <c r="C5" s="19">
        <v>0.03</v>
      </c>
      <c r="D5" s="18"/>
      <c r="E5" s="29"/>
    </row>
    <row r="6" spans="1:32" x14ac:dyDescent="0.2">
      <c r="A6" s="28" t="s">
        <v>169</v>
      </c>
      <c r="B6" s="18"/>
      <c r="C6" s="20">
        <v>25485</v>
      </c>
      <c r="D6" s="18"/>
      <c r="E6" s="29"/>
    </row>
    <row r="7" spans="1:32" x14ac:dyDescent="0.2">
      <c r="A7" s="28"/>
      <c r="B7" s="18"/>
      <c r="C7" s="18"/>
      <c r="D7" s="18"/>
      <c r="E7" s="29"/>
      <c r="H7" s="18"/>
    </row>
    <row r="8" spans="1:32" x14ac:dyDescent="0.2">
      <c r="A8" s="30" t="s">
        <v>2</v>
      </c>
      <c r="B8" s="14" t="s">
        <v>45</v>
      </c>
      <c r="C8" s="21">
        <v>32000</v>
      </c>
      <c r="D8" s="22" t="s">
        <v>82</v>
      </c>
      <c r="E8" s="29"/>
    </row>
    <row r="9" spans="1:32" x14ac:dyDescent="0.2">
      <c r="A9" s="31" t="s">
        <v>81</v>
      </c>
      <c r="B9" s="32" t="s">
        <v>80</v>
      </c>
      <c r="C9" s="23">
        <f>125000/1000000</f>
        <v>0.125</v>
      </c>
      <c r="D9" s="33"/>
      <c r="E9" s="34"/>
    </row>
    <row r="10" spans="1:32" x14ac:dyDescent="0.2">
      <c r="A10" s="1"/>
      <c r="B10" s="1"/>
      <c r="D10" s="7"/>
    </row>
    <row r="11" spans="1:32" x14ac:dyDescent="0.2">
      <c r="A11" s="35" t="s">
        <v>51</v>
      </c>
      <c r="B11" s="36"/>
      <c r="C11" s="27"/>
    </row>
    <row r="12" spans="1:32" x14ac:dyDescent="0.2">
      <c r="A12" s="30" t="s">
        <v>3</v>
      </c>
      <c r="B12" s="14" t="s">
        <v>45</v>
      </c>
      <c r="C12" s="29">
        <v>64</v>
      </c>
    </row>
    <row r="13" spans="1:32" x14ac:dyDescent="0.2">
      <c r="A13" s="30" t="s">
        <v>4</v>
      </c>
      <c r="B13" s="14" t="s">
        <v>45</v>
      </c>
      <c r="C13" s="29">
        <v>120</v>
      </c>
    </row>
    <row r="14" spans="1:32" x14ac:dyDescent="0.2">
      <c r="A14" s="30" t="s">
        <v>5</v>
      </c>
      <c r="B14" s="14" t="s">
        <v>45</v>
      </c>
      <c r="C14" s="29">
        <v>184</v>
      </c>
    </row>
    <row r="15" spans="1:32" x14ac:dyDescent="0.2">
      <c r="A15" s="37" t="s">
        <v>6</v>
      </c>
      <c r="B15" s="14" t="s">
        <v>46</v>
      </c>
      <c r="C15" s="29">
        <v>60</v>
      </c>
    </row>
    <row r="16" spans="1:32" x14ac:dyDescent="0.2">
      <c r="A16" s="37" t="s">
        <v>7</v>
      </c>
      <c r="B16" s="14" t="s">
        <v>46</v>
      </c>
      <c r="C16" s="29">
        <v>93</v>
      </c>
    </row>
    <row r="17" spans="1:5" x14ac:dyDescent="0.2">
      <c r="A17" s="38" t="s">
        <v>8</v>
      </c>
      <c r="B17" s="32" t="s">
        <v>46</v>
      </c>
      <c r="C17" s="34">
        <v>22</v>
      </c>
    </row>
    <row r="18" spans="1:5" x14ac:dyDescent="0.2">
      <c r="A18" s="2"/>
      <c r="B18" s="1"/>
    </row>
    <row r="19" spans="1:5" x14ac:dyDescent="0.2">
      <c r="A19" s="35" t="s">
        <v>52</v>
      </c>
      <c r="B19" s="25"/>
      <c r="C19" s="25"/>
      <c r="D19" s="25"/>
      <c r="E19" s="27"/>
    </row>
    <row r="20" spans="1:5" x14ac:dyDescent="0.2">
      <c r="A20" s="30" t="s">
        <v>53</v>
      </c>
      <c r="B20" s="14" t="s">
        <v>49</v>
      </c>
      <c r="C20" s="18">
        <f>550.773*1000</f>
        <v>550773</v>
      </c>
      <c r="D20" s="18"/>
      <c r="E20" s="29"/>
    </row>
    <row r="21" spans="1:5" x14ac:dyDescent="0.2">
      <c r="A21" s="30" t="s">
        <v>55</v>
      </c>
      <c r="B21" s="14" t="s">
        <v>48</v>
      </c>
      <c r="C21" s="18">
        <v>14.4</v>
      </c>
      <c r="D21" s="18"/>
      <c r="E21" s="29"/>
    </row>
    <row r="22" spans="1:5" x14ac:dyDescent="0.2">
      <c r="A22" s="30" t="s">
        <v>11</v>
      </c>
      <c r="B22" s="14" t="s">
        <v>49</v>
      </c>
      <c r="C22" s="18">
        <v>180</v>
      </c>
      <c r="D22" s="18"/>
      <c r="E22" s="29"/>
    </row>
    <row r="23" spans="1:5" x14ac:dyDescent="0.2">
      <c r="A23" s="30" t="s">
        <v>12</v>
      </c>
      <c r="B23" s="14" t="s">
        <v>49</v>
      </c>
      <c r="C23" s="18">
        <v>216</v>
      </c>
      <c r="D23" s="18"/>
      <c r="E23" s="29"/>
    </row>
    <row r="24" spans="1:5" x14ac:dyDescent="0.2">
      <c r="A24" s="30" t="s">
        <v>13</v>
      </c>
      <c r="B24" s="14" t="s">
        <v>49</v>
      </c>
      <c r="C24" s="18">
        <v>240</v>
      </c>
      <c r="D24" s="18"/>
      <c r="E24" s="29"/>
    </row>
    <row r="25" spans="1:5" x14ac:dyDescent="0.2">
      <c r="A25" s="30" t="s">
        <v>14</v>
      </c>
      <c r="B25" s="14" t="s">
        <v>48</v>
      </c>
      <c r="C25" s="18">
        <f>360000/1000000</f>
        <v>0.36</v>
      </c>
      <c r="D25" s="18"/>
      <c r="E25" s="29"/>
    </row>
    <row r="26" spans="1:5" x14ac:dyDescent="0.2">
      <c r="A26" s="30" t="s">
        <v>9</v>
      </c>
      <c r="B26" s="14" t="s">
        <v>47</v>
      </c>
      <c r="C26" s="18">
        <v>1.2</v>
      </c>
      <c r="D26" s="18"/>
      <c r="E26" s="29"/>
    </row>
    <row r="27" spans="1:5" x14ac:dyDescent="0.2">
      <c r="A27" s="30" t="s">
        <v>10</v>
      </c>
      <c r="B27" s="14" t="s">
        <v>45</v>
      </c>
      <c r="C27" s="18">
        <v>330</v>
      </c>
      <c r="D27" s="18"/>
      <c r="E27" s="29"/>
    </row>
    <row r="28" spans="1:5" x14ac:dyDescent="0.2">
      <c r="A28" s="30" t="s">
        <v>15</v>
      </c>
      <c r="B28" s="14" t="s">
        <v>54</v>
      </c>
      <c r="C28" s="18">
        <v>5</v>
      </c>
      <c r="D28" s="18"/>
      <c r="E28" s="29"/>
    </row>
    <row r="29" spans="1:5" x14ac:dyDescent="0.2">
      <c r="A29" s="39" t="s">
        <v>16</v>
      </c>
      <c r="B29" s="14" t="s">
        <v>47</v>
      </c>
      <c r="C29" s="18"/>
      <c r="D29" s="18"/>
      <c r="E29" s="29"/>
    </row>
    <row r="30" spans="1:5" x14ac:dyDescent="0.2">
      <c r="A30" s="40" t="s">
        <v>17</v>
      </c>
      <c r="B30" s="41"/>
      <c r="C30" s="42">
        <v>0.03</v>
      </c>
      <c r="D30" s="18"/>
      <c r="E30" s="29"/>
    </row>
    <row r="31" spans="1:5" x14ac:dyDescent="0.2">
      <c r="A31" s="40" t="s">
        <v>18</v>
      </c>
      <c r="B31" s="41"/>
      <c r="C31" s="42">
        <v>0.03</v>
      </c>
      <c r="D31" s="18"/>
      <c r="E31" s="29"/>
    </row>
    <row r="32" spans="1:5" x14ac:dyDescent="0.2">
      <c r="A32" s="40" t="s">
        <v>19</v>
      </c>
      <c r="B32" s="41"/>
      <c r="C32" s="43">
        <v>1.4999999999999999E-2</v>
      </c>
      <c r="D32" s="18"/>
      <c r="E32" s="29"/>
    </row>
    <row r="33" spans="1:5" x14ac:dyDescent="0.2">
      <c r="A33" s="40" t="s">
        <v>20</v>
      </c>
      <c r="B33" s="41"/>
      <c r="C33" s="42">
        <v>0.02</v>
      </c>
      <c r="D33" s="18"/>
      <c r="E33" s="29"/>
    </row>
    <row r="34" spans="1:5" x14ac:dyDescent="0.2">
      <c r="A34" s="40" t="s">
        <v>21</v>
      </c>
      <c r="B34" s="41"/>
      <c r="C34" s="43">
        <v>3.5999999999999997E-2</v>
      </c>
      <c r="D34" s="18"/>
      <c r="E34" s="29"/>
    </row>
    <row r="35" spans="1:5" x14ac:dyDescent="0.2">
      <c r="A35" s="40" t="s">
        <v>22</v>
      </c>
      <c r="B35" s="41"/>
      <c r="C35" s="43">
        <v>4.0000000000000001E-3</v>
      </c>
      <c r="D35" s="18"/>
      <c r="E35" s="29"/>
    </row>
    <row r="36" spans="1:5" x14ac:dyDescent="0.2">
      <c r="A36" s="40" t="s">
        <v>23</v>
      </c>
      <c r="B36" s="41"/>
      <c r="C36" s="43">
        <v>0.05</v>
      </c>
      <c r="D36" s="18"/>
      <c r="E36" s="29"/>
    </row>
    <row r="37" spans="1:5" x14ac:dyDescent="0.2">
      <c r="A37" s="44" t="s">
        <v>24</v>
      </c>
      <c r="B37" s="14" t="s">
        <v>47</v>
      </c>
      <c r="C37" s="42">
        <v>0.1</v>
      </c>
      <c r="D37" s="18"/>
      <c r="E37" s="29"/>
    </row>
    <row r="38" spans="1:5" x14ac:dyDescent="0.2">
      <c r="A38" s="44" t="s">
        <v>56</v>
      </c>
      <c r="B38" s="14" t="s">
        <v>49</v>
      </c>
      <c r="C38" s="18">
        <f>11.705*1000</f>
        <v>11705</v>
      </c>
      <c r="D38" s="18"/>
      <c r="E38" s="29"/>
    </row>
    <row r="39" spans="1:5" x14ac:dyDescent="0.2">
      <c r="A39" s="30"/>
      <c r="B39" s="14"/>
      <c r="C39" s="18"/>
      <c r="D39" s="18"/>
      <c r="E39" s="29"/>
    </row>
    <row r="40" spans="1:5" x14ac:dyDescent="0.2">
      <c r="A40" s="39" t="s">
        <v>25</v>
      </c>
      <c r="B40" s="14"/>
      <c r="C40" s="18"/>
      <c r="D40" s="18"/>
      <c r="E40" s="29"/>
    </row>
    <row r="41" spans="1:5" x14ac:dyDescent="0.2">
      <c r="A41" s="30" t="s">
        <v>57</v>
      </c>
      <c r="B41" s="14"/>
      <c r="C41" s="42">
        <v>0.3</v>
      </c>
      <c r="D41" s="42">
        <v>0.55000000000000004</v>
      </c>
      <c r="E41" s="45">
        <v>0.15</v>
      </c>
    </row>
    <row r="42" spans="1:5" x14ac:dyDescent="0.2">
      <c r="A42" s="30" t="s">
        <v>26</v>
      </c>
      <c r="B42" s="14"/>
      <c r="C42" s="42">
        <v>0</v>
      </c>
      <c r="D42" s="42">
        <v>0</v>
      </c>
      <c r="E42" s="45">
        <v>1</v>
      </c>
    </row>
    <row r="43" spans="1:5" x14ac:dyDescent="0.2">
      <c r="A43" s="30" t="s">
        <v>95</v>
      </c>
      <c r="B43" s="14"/>
      <c r="C43" s="42">
        <v>0</v>
      </c>
      <c r="D43" s="42">
        <v>0</v>
      </c>
      <c r="E43" s="45">
        <v>1</v>
      </c>
    </row>
    <row r="44" spans="1:5" x14ac:dyDescent="0.2">
      <c r="A44" s="30" t="s">
        <v>27</v>
      </c>
      <c r="B44" s="14"/>
      <c r="C44" s="18"/>
      <c r="D44" s="18"/>
      <c r="E44" s="29"/>
    </row>
    <row r="45" spans="1:5" x14ac:dyDescent="0.2">
      <c r="A45" s="40" t="s">
        <v>17</v>
      </c>
      <c r="B45" s="14"/>
      <c r="C45" s="42">
        <v>1</v>
      </c>
      <c r="D45" s="42">
        <v>0</v>
      </c>
      <c r="E45" s="45">
        <v>0</v>
      </c>
    </row>
    <row r="46" spans="1:5" x14ac:dyDescent="0.2">
      <c r="A46" s="40" t="s">
        <v>18</v>
      </c>
      <c r="B46" s="14"/>
      <c r="C46" s="42">
        <v>1</v>
      </c>
      <c r="D46" s="42">
        <v>0</v>
      </c>
      <c r="E46" s="45">
        <v>0</v>
      </c>
    </row>
    <row r="47" spans="1:5" x14ac:dyDescent="0.2">
      <c r="A47" s="40" t="s">
        <v>19</v>
      </c>
      <c r="B47" s="14"/>
      <c r="C47" s="42">
        <v>1</v>
      </c>
      <c r="D47" s="42">
        <v>0</v>
      </c>
      <c r="E47" s="45">
        <v>0</v>
      </c>
    </row>
    <row r="48" spans="1:5" x14ac:dyDescent="0.2">
      <c r="A48" s="40" t="s">
        <v>58</v>
      </c>
      <c r="B48" s="14"/>
      <c r="C48" s="42">
        <v>0.5</v>
      </c>
      <c r="D48" s="42">
        <v>0</v>
      </c>
      <c r="E48" s="45">
        <v>0.5</v>
      </c>
    </row>
    <row r="49" spans="1:5" x14ac:dyDescent="0.2">
      <c r="A49" s="40" t="s">
        <v>21</v>
      </c>
      <c r="B49" s="14"/>
      <c r="C49" s="42">
        <v>0.5</v>
      </c>
      <c r="D49" s="42">
        <v>0.3</v>
      </c>
      <c r="E49" s="45">
        <v>0.2</v>
      </c>
    </row>
    <row r="50" spans="1:5" x14ac:dyDescent="0.2">
      <c r="A50" s="40" t="s">
        <v>22</v>
      </c>
      <c r="B50" s="14"/>
      <c r="C50" s="42">
        <v>0.35</v>
      </c>
      <c r="D50" s="42">
        <v>0.3</v>
      </c>
      <c r="E50" s="45">
        <v>0.35</v>
      </c>
    </row>
    <row r="51" spans="1:5" x14ac:dyDescent="0.2">
      <c r="A51" s="40" t="s">
        <v>23</v>
      </c>
      <c r="B51" s="14"/>
      <c r="C51" s="42">
        <v>0.3</v>
      </c>
      <c r="D51" s="42">
        <v>0.35</v>
      </c>
      <c r="E51" s="45">
        <v>0.35</v>
      </c>
    </row>
    <row r="52" spans="1:5" x14ac:dyDescent="0.2">
      <c r="A52" s="46" t="s">
        <v>28</v>
      </c>
      <c r="B52" s="32" t="s">
        <v>50</v>
      </c>
      <c r="C52" s="47">
        <v>3</v>
      </c>
      <c r="D52" s="23"/>
      <c r="E52" s="34"/>
    </row>
    <row r="53" spans="1:5" x14ac:dyDescent="0.2">
      <c r="A53" s="1"/>
      <c r="B53" s="4"/>
    </row>
    <row r="54" spans="1:5" x14ac:dyDescent="0.2">
      <c r="A54" s="35" t="s">
        <v>18</v>
      </c>
      <c r="B54" s="48"/>
      <c r="C54" s="25"/>
      <c r="D54" s="25"/>
      <c r="E54" s="27"/>
    </row>
    <row r="55" spans="1:5" x14ac:dyDescent="0.2">
      <c r="A55" s="30" t="s">
        <v>60</v>
      </c>
      <c r="B55" s="15" t="s">
        <v>59</v>
      </c>
      <c r="C55" s="18">
        <v>126318</v>
      </c>
      <c r="D55" s="18">
        <v>63393</v>
      </c>
      <c r="E55" s="29"/>
    </row>
    <row r="56" spans="1:5" x14ac:dyDescent="0.2">
      <c r="A56" s="30" t="s">
        <v>33</v>
      </c>
      <c r="B56" s="15" t="s">
        <v>47</v>
      </c>
      <c r="C56" s="42">
        <v>0.08</v>
      </c>
      <c r="D56" s="18"/>
      <c r="E56" s="29"/>
    </row>
    <row r="57" spans="1:5" x14ac:dyDescent="0.2">
      <c r="A57" s="30" t="s">
        <v>34</v>
      </c>
      <c r="B57" s="15" t="s">
        <v>47</v>
      </c>
      <c r="C57" s="43">
        <v>3.5000000000000003E-2</v>
      </c>
      <c r="D57" s="18"/>
      <c r="E57" s="29"/>
    </row>
    <row r="58" spans="1:5" x14ac:dyDescent="0.2">
      <c r="A58" s="30" t="s">
        <v>35</v>
      </c>
      <c r="B58" s="15" t="s">
        <v>47</v>
      </c>
      <c r="C58" s="43">
        <f>C56+C57</f>
        <v>0.115</v>
      </c>
      <c r="D58" s="18"/>
      <c r="E58" s="29"/>
    </row>
    <row r="59" spans="1:5" x14ac:dyDescent="0.2">
      <c r="A59" s="30" t="s">
        <v>36</v>
      </c>
      <c r="B59" s="15" t="s">
        <v>47</v>
      </c>
      <c r="C59" s="43">
        <v>5.5E-2</v>
      </c>
      <c r="D59" s="18"/>
      <c r="E59" s="29"/>
    </row>
    <row r="60" spans="1:5" x14ac:dyDescent="0.2">
      <c r="A60" s="30" t="s">
        <v>37</v>
      </c>
      <c r="B60" s="15" t="s">
        <v>50</v>
      </c>
      <c r="C60" s="18">
        <v>4</v>
      </c>
      <c r="D60" s="18"/>
      <c r="E60" s="29"/>
    </row>
    <row r="61" spans="1:5" x14ac:dyDescent="0.2">
      <c r="A61" s="30" t="s">
        <v>38</v>
      </c>
      <c r="B61" s="15" t="s">
        <v>50</v>
      </c>
      <c r="C61" s="18">
        <v>10</v>
      </c>
      <c r="D61" s="18"/>
      <c r="E61" s="29"/>
    </row>
    <row r="62" spans="1:5" x14ac:dyDescent="0.2">
      <c r="A62" s="30" t="s">
        <v>62</v>
      </c>
      <c r="B62" s="15" t="s">
        <v>59</v>
      </c>
      <c r="C62" s="18">
        <v>311062</v>
      </c>
      <c r="D62" s="18"/>
      <c r="E62" s="29"/>
    </row>
    <row r="63" spans="1:5" x14ac:dyDescent="0.2">
      <c r="A63" s="30" t="s">
        <v>63</v>
      </c>
      <c r="B63" s="18"/>
      <c r="C63" s="18"/>
      <c r="D63" s="18"/>
      <c r="E63" s="29"/>
    </row>
    <row r="64" spans="1:5" x14ac:dyDescent="0.2">
      <c r="A64" s="49" t="s">
        <v>64</v>
      </c>
      <c r="B64" s="15" t="s">
        <v>66</v>
      </c>
      <c r="C64" s="42">
        <v>0.8</v>
      </c>
      <c r="D64" s="42">
        <v>0.3</v>
      </c>
      <c r="E64" s="45">
        <v>0</v>
      </c>
    </row>
    <row r="65" spans="1:32" x14ac:dyDescent="0.2">
      <c r="A65" s="50" t="s">
        <v>65</v>
      </c>
      <c r="B65" s="51" t="s">
        <v>66</v>
      </c>
      <c r="C65" s="52">
        <v>0.2</v>
      </c>
      <c r="D65" s="52">
        <v>0.7</v>
      </c>
      <c r="E65" s="53">
        <v>1</v>
      </c>
    </row>
    <row r="67" spans="1:32" x14ac:dyDescent="0.2">
      <c r="A67" s="54" t="s">
        <v>67</v>
      </c>
      <c r="B67" s="25"/>
      <c r="C67" s="25"/>
      <c r="D67" s="25"/>
      <c r="E67" s="27"/>
    </row>
    <row r="68" spans="1:32" x14ac:dyDescent="0.2">
      <c r="A68" s="30" t="s">
        <v>29</v>
      </c>
      <c r="B68" s="15" t="s">
        <v>50</v>
      </c>
      <c r="C68" s="18">
        <v>25</v>
      </c>
      <c r="D68" s="18"/>
      <c r="E68" s="29"/>
    </row>
    <row r="69" spans="1:32" x14ac:dyDescent="0.2">
      <c r="A69" s="30" t="s">
        <v>30</v>
      </c>
      <c r="B69" s="15" t="s">
        <v>50</v>
      </c>
      <c r="C69" s="18">
        <v>5</v>
      </c>
      <c r="D69" s="18"/>
      <c r="E69" s="29"/>
    </row>
    <row r="70" spans="1:32" x14ac:dyDescent="0.2">
      <c r="A70" s="30" t="s">
        <v>31</v>
      </c>
      <c r="B70" s="15" t="s">
        <v>50</v>
      </c>
      <c r="C70" s="18">
        <v>25</v>
      </c>
      <c r="D70" s="18"/>
      <c r="E70" s="29"/>
    </row>
    <row r="71" spans="1:32" x14ac:dyDescent="0.2">
      <c r="A71" s="31" t="s">
        <v>32</v>
      </c>
      <c r="B71" s="51" t="s">
        <v>50</v>
      </c>
      <c r="C71" s="23">
        <v>3</v>
      </c>
      <c r="D71" s="23" t="s">
        <v>68</v>
      </c>
      <c r="E71" s="34"/>
    </row>
    <row r="73" spans="1:32" x14ac:dyDescent="0.2">
      <c r="A73" s="35" t="s">
        <v>69</v>
      </c>
      <c r="B73" s="25"/>
      <c r="C73" s="25"/>
      <c r="D73" s="25"/>
      <c r="E73" s="25"/>
      <c r="F73" s="25"/>
      <c r="G73" s="25"/>
      <c r="H73" s="25"/>
      <c r="I73" s="25"/>
      <c r="J73" s="25"/>
      <c r="K73" s="25"/>
      <c r="L73" s="25"/>
      <c r="M73" s="25"/>
      <c r="N73" s="25"/>
      <c r="O73" s="25"/>
      <c r="P73" s="27"/>
      <c r="Q73" s="24"/>
      <c r="R73" s="25"/>
      <c r="S73" s="25"/>
      <c r="T73" s="25"/>
      <c r="U73" s="25"/>
      <c r="V73" s="25"/>
      <c r="W73" s="25"/>
      <c r="X73" s="25"/>
      <c r="Y73" s="25"/>
      <c r="Z73" s="25"/>
      <c r="AA73" s="25"/>
      <c r="AB73" s="25"/>
      <c r="AC73" s="25"/>
      <c r="AD73" s="25"/>
      <c r="AE73" s="25"/>
      <c r="AF73" s="27"/>
    </row>
    <row r="74" spans="1:32" x14ac:dyDescent="0.2">
      <c r="A74" s="30" t="s">
        <v>61</v>
      </c>
      <c r="B74" s="14" t="s">
        <v>127</v>
      </c>
      <c r="C74" s="18">
        <f>720000/1000000</f>
        <v>0.72</v>
      </c>
      <c r="D74" s="18"/>
      <c r="E74" s="18"/>
      <c r="F74" s="18"/>
      <c r="G74" s="18"/>
      <c r="H74" s="18"/>
      <c r="I74" s="18"/>
      <c r="J74" s="18"/>
      <c r="K74" s="18"/>
      <c r="L74" s="18"/>
      <c r="M74" s="18"/>
      <c r="N74" s="18"/>
      <c r="O74" s="18"/>
      <c r="P74" s="29"/>
      <c r="Q74" s="28"/>
      <c r="R74" s="18"/>
      <c r="S74" s="18"/>
      <c r="T74" s="18"/>
      <c r="U74" s="18"/>
      <c r="V74" s="18"/>
      <c r="W74" s="18"/>
      <c r="X74" s="18"/>
      <c r="Y74" s="18"/>
      <c r="Z74" s="18"/>
      <c r="AA74" s="18"/>
      <c r="AB74" s="18"/>
      <c r="AC74" s="18"/>
      <c r="AD74" s="18"/>
      <c r="AE74" s="18"/>
      <c r="AF74" s="29"/>
    </row>
    <row r="75" spans="1:32" x14ac:dyDescent="0.2">
      <c r="A75" s="30" t="s">
        <v>39</v>
      </c>
      <c r="B75" s="15" t="s">
        <v>47</v>
      </c>
      <c r="C75" s="42">
        <v>0.06</v>
      </c>
      <c r="D75" s="42">
        <v>0.06</v>
      </c>
      <c r="E75" s="42">
        <v>0.06</v>
      </c>
      <c r="F75" s="42">
        <v>0.06</v>
      </c>
      <c r="G75" s="42">
        <v>0.06</v>
      </c>
      <c r="H75" s="42">
        <v>0.06</v>
      </c>
      <c r="I75" s="42">
        <v>0.06</v>
      </c>
      <c r="J75" s="42">
        <v>0.06</v>
      </c>
      <c r="K75" s="42">
        <v>0.05</v>
      </c>
      <c r="L75" s="42">
        <v>0.05</v>
      </c>
      <c r="M75" s="42">
        <v>0.05</v>
      </c>
      <c r="N75" s="42">
        <v>0.05</v>
      </c>
      <c r="O75" s="42">
        <v>0.05</v>
      </c>
      <c r="P75" s="45">
        <v>0.04</v>
      </c>
      <c r="Q75" s="55">
        <v>0.04</v>
      </c>
      <c r="R75" s="42">
        <v>0.04</v>
      </c>
      <c r="S75" s="42">
        <v>0.04</v>
      </c>
      <c r="T75" s="42">
        <v>0.04</v>
      </c>
      <c r="U75" s="42">
        <v>0.03</v>
      </c>
      <c r="V75" s="42">
        <v>0.03</v>
      </c>
      <c r="W75" s="42">
        <v>0.03</v>
      </c>
      <c r="X75" s="42">
        <v>0.03</v>
      </c>
      <c r="Y75" s="42">
        <v>0.03</v>
      </c>
      <c r="Z75" s="42">
        <v>0.03</v>
      </c>
      <c r="AA75" s="42">
        <v>0.03</v>
      </c>
      <c r="AB75" s="42">
        <v>0.03</v>
      </c>
      <c r="AC75" s="42">
        <v>0.03</v>
      </c>
      <c r="AD75" s="42">
        <v>0.03</v>
      </c>
      <c r="AE75" s="18"/>
      <c r="AF75" s="29"/>
    </row>
    <row r="76" spans="1:32" x14ac:dyDescent="0.2">
      <c r="A76" s="31" t="s">
        <v>40</v>
      </c>
      <c r="B76" s="51" t="s">
        <v>47</v>
      </c>
      <c r="C76" s="23"/>
      <c r="D76" s="23"/>
      <c r="E76" s="23"/>
      <c r="F76" s="52">
        <v>0.5</v>
      </c>
      <c r="G76" s="52">
        <f>F76-10%</f>
        <v>0.4</v>
      </c>
      <c r="H76" s="52">
        <f t="shared" ref="H76:I76" si="0">G76-10%</f>
        <v>0.30000000000000004</v>
      </c>
      <c r="I76" s="52">
        <f t="shared" si="0"/>
        <v>0.20000000000000004</v>
      </c>
      <c r="J76" s="52">
        <v>0.2</v>
      </c>
      <c r="K76" s="52">
        <v>0.2</v>
      </c>
      <c r="L76" s="52">
        <v>0.2</v>
      </c>
      <c r="M76" s="52">
        <v>0.2</v>
      </c>
      <c r="N76" s="52">
        <v>0.2</v>
      </c>
      <c r="O76" s="52">
        <v>0.2</v>
      </c>
      <c r="P76" s="53">
        <v>0.2</v>
      </c>
      <c r="Q76" s="56">
        <v>0.2</v>
      </c>
      <c r="R76" s="52">
        <v>0.2</v>
      </c>
      <c r="S76" s="52">
        <v>0.2</v>
      </c>
      <c r="T76" s="52">
        <v>0.2</v>
      </c>
      <c r="U76" s="52">
        <v>0.2</v>
      </c>
      <c r="V76" s="52">
        <v>0.2</v>
      </c>
      <c r="W76" s="52">
        <v>0.2</v>
      </c>
      <c r="X76" s="52">
        <v>0.2</v>
      </c>
      <c r="Y76" s="52">
        <v>0.2</v>
      </c>
      <c r="Z76" s="52">
        <v>0.2</v>
      </c>
      <c r="AA76" s="52">
        <v>0.2</v>
      </c>
      <c r="AB76" s="52">
        <v>0.2</v>
      </c>
      <c r="AC76" s="52">
        <v>0.2</v>
      </c>
      <c r="AD76" s="52">
        <v>0.2</v>
      </c>
      <c r="AE76" s="52">
        <v>0.2</v>
      </c>
      <c r="AF76" s="53">
        <v>0.2</v>
      </c>
    </row>
    <row r="78" spans="1:32" x14ac:dyDescent="0.2">
      <c r="A78" s="35" t="s">
        <v>70</v>
      </c>
      <c r="B78" s="25"/>
      <c r="C78" s="27"/>
    </row>
    <row r="79" spans="1:32" x14ac:dyDescent="0.2">
      <c r="A79" s="30" t="s">
        <v>73</v>
      </c>
      <c r="B79" s="18" t="s">
        <v>47</v>
      </c>
      <c r="C79" s="45">
        <v>0.15</v>
      </c>
    </row>
    <row r="80" spans="1:32" x14ac:dyDescent="0.2">
      <c r="A80" s="30" t="s">
        <v>72</v>
      </c>
      <c r="B80" s="18" t="s">
        <v>47</v>
      </c>
      <c r="C80" s="45">
        <v>0.05</v>
      </c>
    </row>
    <row r="81" spans="1:32" x14ac:dyDescent="0.2">
      <c r="A81" s="30" t="s">
        <v>74</v>
      </c>
      <c r="B81" s="18" t="s">
        <v>47</v>
      </c>
      <c r="C81" s="45">
        <v>0.5</v>
      </c>
    </row>
    <row r="82" spans="1:32" x14ac:dyDescent="0.2">
      <c r="A82" s="30" t="s">
        <v>75</v>
      </c>
      <c r="B82" s="18" t="s">
        <v>47</v>
      </c>
      <c r="C82" s="45">
        <v>0.05</v>
      </c>
    </row>
    <row r="83" spans="1:32" x14ac:dyDescent="0.2">
      <c r="A83" s="30" t="s">
        <v>77</v>
      </c>
      <c r="B83" s="18" t="s">
        <v>76</v>
      </c>
      <c r="C83" s="29">
        <f>(18000*12)/1000000</f>
        <v>0.216</v>
      </c>
    </row>
    <row r="84" spans="1:32" x14ac:dyDescent="0.2">
      <c r="A84" s="31" t="s">
        <v>78</v>
      </c>
      <c r="B84" s="23" t="s">
        <v>76</v>
      </c>
      <c r="C84" s="34">
        <f>(4500*12)/1000000</f>
        <v>5.3999999999999999E-2</v>
      </c>
    </row>
    <row r="86" spans="1:32" x14ac:dyDescent="0.2">
      <c r="A86" s="35" t="s">
        <v>79</v>
      </c>
      <c r="B86" s="25"/>
      <c r="C86" s="27"/>
    </row>
    <row r="87" spans="1:32" x14ac:dyDescent="0.2">
      <c r="A87" s="30" t="s">
        <v>41</v>
      </c>
      <c r="B87" s="15" t="s">
        <v>47</v>
      </c>
      <c r="C87" s="45">
        <v>0.1</v>
      </c>
    </row>
    <row r="88" spans="1:32" x14ac:dyDescent="0.2">
      <c r="A88" s="30" t="s">
        <v>42</v>
      </c>
      <c r="B88" s="15" t="s">
        <v>47</v>
      </c>
      <c r="C88" s="45">
        <v>0.25</v>
      </c>
    </row>
    <row r="89" spans="1:32" x14ac:dyDescent="0.2">
      <c r="A89" s="30" t="s">
        <v>43</v>
      </c>
      <c r="B89" s="15" t="s">
        <v>50</v>
      </c>
      <c r="C89" s="29"/>
    </row>
    <row r="90" spans="1:32" x14ac:dyDescent="0.2">
      <c r="A90" s="31" t="s">
        <v>44</v>
      </c>
      <c r="B90" s="51" t="s">
        <v>47</v>
      </c>
      <c r="C90" s="53">
        <f>(1+12%)*(1+C4)-1</f>
        <v>0.20960000000000023</v>
      </c>
    </row>
    <row r="91" spans="1:32" x14ac:dyDescent="0.2">
      <c r="A91" s="14"/>
      <c r="B91" s="15"/>
      <c r="C91" s="6"/>
    </row>
    <row r="92" spans="1:32" x14ac:dyDescent="0.2">
      <c r="A92" s="57" t="s">
        <v>180</v>
      </c>
      <c r="B92" s="11"/>
      <c r="C92" s="11"/>
      <c r="D92" s="11"/>
      <c r="E92" s="11"/>
      <c r="F92" s="11"/>
      <c r="G92" s="11"/>
      <c r="H92" s="11"/>
      <c r="I92" s="11"/>
    </row>
    <row r="93" spans="1:32" x14ac:dyDescent="0.2">
      <c r="A93" s="58" t="s">
        <v>171</v>
      </c>
      <c r="B93" s="59"/>
      <c r="C93" s="60">
        <v>1</v>
      </c>
      <c r="D93" s="60">
        <f>C93*(1+$B$227)</f>
        <v>1.08</v>
      </c>
      <c r="E93" s="60">
        <f>D93*(1+$B$227)</f>
        <v>1.1664000000000001</v>
      </c>
      <c r="F93" s="60">
        <f>E93*(1+$B$227)</f>
        <v>1.2597120000000002</v>
      </c>
      <c r="G93" s="60">
        <f>F93*(1+$B$227)</f>
        <v>1.3604889600000003</v>
      </c>
      <c r="H93" s="60">
        <f>G93*(1+$B$227)</f>
        <v>1.4693280768000003</v>
      </c>
      <c r="I93" s="60">
        <f>H93*(1+$B$227)</f>
        <v>1.5868743229440005</v>
      </c>
      <c r="J93" s="60">
        <f>I93*(1+$B$227)</f>
        <v>1.7138242687795207</v>
      </c>
      <c r="K93" s="60">
        <f>J93*(1+$B$227)</f>
        <v>1.8509302102818825</v>
      </c>
      <c r="L93" s="60">
        <f>K93*(1+$B$227)</f>
        <v>1.9990046271044333</v>
      </c>
      <c r="M93" s="60">
        <f>L93*(1+$B$227)</f>
        <v>2.1589249972727882</v>
      </c>
      <c r="N93" s="60">
        <f>M93*(1+$B$227)</f>
        <v>2.3316389970546112</v>
      </c>
      <c r="O93" s="60">
        <f>N93*(1+$B$227)</f>
        <v>2.5181701168189803</v>
      </c>
      <c r="P93" s="60">
        <f>O93*(1+$B$227)</f>
        <v>2.7196237261644991</v>
      </c>
      <c r="Q93" s="60">
        <f>P93*(1+$B$227)</f>
        <v>2.9371936242576591</v>
      </c>
      <c r="R93" s="60">
        <f>Q93*(1+$B$227)</f>
        <v>3.172169114198272</v>
      </c>
      <c r="S93" s="60">
        <f>R93*(1+$B$227)</f>
        <v>3.425942643334134</v>
      </c>
      <c r="T93" s="60">
        <f>S93*(1+$B$227)</f>
        <v>3.7000180548008648</v>
      </c>
      <c r="U93" s="60">
        <f>T93*(1+$B$227)</f>
        <v>3.9960194991849343</v>
      </c>
      <c r="V93" s="60">
        <f>U93*(1+$B$227)</f>
        <v>4.3157010591197293</v>
      </c>
      <c r="W93" s="60">
        <f>V93*(1+$B$227)</f>
        <v>4.6609571438493083</v>
      </c>
      <c r="X93" s="60">
        <f>W93*(1+$B$227)</f>
        <v>5.033833715357253</v>
      </c>
      <c r="Y93" s="60">
        <f>X93*(1+$B$227)</f>
        <v>5.4365404125858339</v>
      </c>
      <c r="Z93" s="60">
        <f>Y93*(1+$B$227)</f>
        <v>5.8714636455927014</v>
      </c>
      <c r="AA93" s="60">
        <f>Z93*(1+$B$227)</f>
        <v>6.3411807372401183</v>
      </c>
      <c r="AB93" s="60">
        <f>AA93*(1+$B$227)</f>
        <v>6.8484751962193284</v>
      </c>
      <c r="AC93" s="60">
        <f>AB93*(1+$B$227)</f>
        <v>7.3963532119168756</v>
      </c>
      <c r="AD93" s="60">
        <f>AC93*(1+$B$227)</f>
        <v>7.9880614688702263</v>
      </c>
      <c r="AE93" s="60">
        <f>AD93*(1+$B$227)</f>
        <v>8.6271063863798449</v>
      </c>
      <c r="AF93" s="60">
        <f>AE93*(1+$B$227)</f>
        <v>9.3172748972902326</v>
      </c>
    </row>
    <row r="94" spans="1:32" x14ac:dyDescent="0.2">
      <c r="A94" s="58" t="s">
        <v>172</v>
      </c>
      <c r="B94" s="59"/>
      <c r="C94" s="60">
        <v>1</v>
      </c>
      <c r="D94" s="60">
        <f>C94*(1+$B$228)</f>
        <v>1.03</v>
      </c>
      <c r="E94" s="60">
        <f>D94*(1+$B$228)</f>
        <v>1.0609</v>
      </c>
      <c r="F94" s="60">
        <f>E94*(1+$B$228)</f>
        <v>1.092727</v>
      </c>
      <c r="G94" s="60">
        <f>F94*(1+$B$228)</f>
        <v>1.1255088100000001</v>
      </c>
      <c r="H94" s="60">
        <f>G94*(1+$B$228)</f>
        <v>1.1592740743000001</v>
      </c>
      <c r="I94" s="60">
        <f>H94*(1+$B$228)</f>
        <v>1.1940522965290001</v>
      </c>
      <c r="J94" s="60">
        <f>I94*(1+$B$228)</f>
        <v>1.2298738654248702</v>
      </c>
      <c r="K94" s="60">
        <f>J94*(1+$B$228)</f>
        <v>1.2667700813876164</v>
      </c>
      <c r="L94" s="60">
        <f>K94*(1+$B$228)</f>
        <v>1.3047731838292449</v>
      </c>
      <c r="M94" s="60">
        <f>L94*(1+$B$228)</f>
        <v>1.3439163793441222</v>
      </c>
      <c r="N94" s="60">
        <f>M94*(1+$B$228)</f>
        <v>1.3842338707244459</v>
      </c>
      <c r="O94" s="60">
        <f>N94*(1+$B$228)</f>
        <v>1.4257608868461793</v>
      </c>
      <c r="P94" s="60">
        <f>O94*(1+$B$228)</f>
        <v>1.4685337134515648</v>
      </c>
      <c r="Q94" s="60">
        <f>P94*(1+$B$228)</f>
        <v>1.5125897248551119</v>
      </c>
      <c r="R94" s="60">
        <f>Q94*(1+$B$228)</f>
        <v>1.5579674166007653</v>
      </c>
      <c r="S94" s="60">
        <f>R94*(1+$B$228)</f>
        <v>1.6047064390987884</v>
      </c>
      <c r="T94" s="60">
        <f>S94*(1+$B$228)</f>
        <v>1.652847632271752</v>
      </c>
      <c r="U94" s="60">
        <f>T94*(1+$B$228)</f>
        <v>1.7024330612399046</v>
      </c>
      <c r="V94" s="60">
        <f>U94*(1+$B$228)</f>
        <v>1.7535060530771018</v>
      </c>
      <c r="W94" s="60">
        <f>V94*(1+$B$228)</f>
        <v>1.806111234669415</v>
      </c>
      <c r="X94" s="60">
        <f>W94*(1+$B$228)</f>
        <v>1.8602945717094976</v>
      </c>
      <c r="Y94" s="60">
        <f>X94*(1+$B$228)</f>
        <v>1.9161034088607827</v>
      </c>
      <c r="Z94" s="60">
        <f>Y94*(1+$B$228)</f>
        <v>1.9735865111266062</v>
      </c>
      <c r="AA94" s="60">
        <f>Z94*(1+$B$228)</f>
        <v>2.0327941064604045</v>
      </c>
      <c r="AB94" s="60">
        <f>AA94*(1+$B$228)</f>
        <v>2.0937779296542165</v>
      </c>
      <c r="AC94" s="60">
        <f>AB94*(1+$B$228)</f>
        <v>2.1565912675438432</v>
      </c>
      <c r="AD94" s="60">
        <f>AC94*(1+$B$228)</f>
        <v>2.2212890055701586</v>
      </c>
      <c r="AE94" s="60">
        <f>AD94*(1+$B$228)</f>
        <v>2.2879276757372633</v>
      </c>
      <c r="AF94" s="60">
        <f>AE94*(1+$B$228)</f>
        <v>2.3565655060093813</v>
      </c>
    </row>
    <row r="95" spans="1:32" x14ac:dyDescent="0.2">
      <c r="A95" s="58" t="s">
        <v>173</v>
      </c>
      <c r="B95" s="59"/>
      <c r="C95" s="60">
        <f>$B$229*(C93/C94)</f>
        <v>25485</v>
      </c>
      <c r="D95" s="60">
        <f>$B$229*(D93/D94)</f>
        <v>26722.135922330097</v>
      </c>
      <c r="E95" s="60">
        <f>$B$229*(E93/E94)</f>
        <v>28019.326986520882</v>
      </c>
      <c r="F95" s="60">
        <f>$B$229*(F93/F94)</f>
        <v>29379.488490720927</v>
      </c>
      <c r="G95" s="60">
        <f>$B$229*(G93/G94)</f>
        <v>30805.677252406407</v>
      </c>
      <c r="H95" s="60">
        <f>$B$229*(H93/H94)</f>
        <v>32301.098478251381</v>
      </c>
      <c r="I95" s="60">
        <f>$B$229*(I93/I94)</f>
        <v>33869.112967486886</v>
      </c>
      <c r="J95" s="60">
        <f>$B$229*(J93/J94)</f>
        <v>35513.244664937702</v>
      </c>
      <c r="K95" s="60">
        <f>$B$229*(K93/K94)</f>
        <v>37237.188580711379</v>
      </c>
      <c r="L95" s="60">
        <f>$B$229*(L93/L94)</f>
        <v>39044.819094338149</v>
      </c>
      <c r="M95" s="60">
        <f>$B$229*(M93/M94)</f>
        <v>40940.198662024472</v>
      </c>
      <c r="N95" s="60">
        <f>$B$229*(N93/N94)</f>
        <v>42927.586946588766</v>
      </c>
      <c r="O95" s="60">
        <f>$B$229*(O93/O94)</f>
        <v>45011.450390597929</v>
      </c>
      <c r="P95" s="60">
        <f>$B$229*(P93/P94)</f>
        <v>47196.472254219196</v>
      </c>
      <c r="Q95" s="60">
        <f>$B$229*(Q93/Q94)</f>
        <v>49487.563140346334</v>
      </c>
      <c r="R95" s="60">
        <f>$B$229*(R93/R94)</f>
        <v>51889.872030654413</v>
      </c>
      <c r="S95" s="60">
        <f>$B$229*(S93/S94)</f>
        <v>54408.797857385216</v>
      </c>
      <c r="T95" s="60">
        <f>$B$229*(T93/T94)</f>
        <v>57050.001636869929</v>
      </c>
      <c r="U95" s="60">
        <f>$B$229*(U93/U94)</f>
        <v>59819.419192057794</v>
      </c>
      <c r="V95" s="60">
        <f>$B$229*(V93/V94)</f>
        <v>62723.274492643126</v>
      </c>
      <c r="W95" s="60">
        <f>$B$229*(W93/W94)</f>
        <v>65768.093642771433</v>
      </c>
      <c r="X95" s="60">
        <f>$B$229*(X93/X94)</f>
        <v>68960.719547760338</v>
      </c>
      <c r="Y95" s="60">
        <f>$B$229*(Y93/Y94)</f>
        <v>72308.327292797243</v>
      </c>
      <c r="Z95" s="60">
        <f>$B$229*(Z93/Z94)</f>
        <v>75818.440268175764</v>
      </c>
      <c r="AA95" s="60">
        <f>$B$229*(AA93/AA94)</f>
        <v>79498.947077310513</v>
      </c>
      <c r="AB95" s="60">
        <f>$B$229*(AB93/AB94)</f>
        <v>83358.119265529487</v>
      </c>
      <c r="AC95" s="60">
        <f>$B$229*(AC93/AC94)</f>
        <v>87404.629909487223</v>
      </c>
      <c r="AD95" s="60">
        <f>$B$229*(AD93/AD94)</f>
        <v>91647.573108976911</v>
      </c>
      <c r="AE95" s="60">
        <f>$B$229*(AE93/AE94)</f>
        <v>96096.48442494667</v>
      </c>
      <c r="AF95" s="60">
        <f>$B$229*(AF93/AF94)</f>
        <v>100761.3623096528</v>
      </c>
    </row>
    <row r="96" spans="1:32" x14ac:dyDescent="0.2">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row>
    <row r="97" spans="1:32" x14ac:dyDescent="0.2">
      <c r="A97" s="57" t="s">
        <v>83</v>
      </c>
      <c r="B97" s="3"/>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row>
    <row r="98" spans="1:32" x14ac:dyDescent="0.2">
      <c r="A98" s="58" t="s">
        <v>84</v>
      </c>
      <c r="B98" s="64" t="s">
        <v>45</v>
      </c>
      <c r="C98" s="68">
        <f>C12*C15+C13*C16+C14*C17</f>
        <v>19048</v>
      </c>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row>
    <row r="99" spans="1:32" x14ac:dyDescent="0.2">
      <c r="A99" s="58" t="s">
        <v>85</v>
      </c>
      <c r="B99" s="64" t="s">
        <v>45</v>
      </c>
      <c r="C99" s="68">
        <f>C26*C98</f>
        <v>22857.599999999999</v>
      </c>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row>
    <row r="100" spans="1:32" x14ac:dyDescent="0.2">
      <c r="A100" s="58" t="s">
        <v>86</v>
      </c>
      <c r="B100" s="64" t="s">
        <v>49</v>
      </c>
      <c r="C100" s="68">
        <f>C99*C21</f>
        <v>329149.44</v>
      </c>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row>
    <row r="101" spans="1:32" x14ac:dyDescent="0.2">
      <c r="A101" s="58" t="s">
        <v>87</v>
      </c>
      <c r="B101" s="64" t="s">
        <v>49</v>
      </c>
      <c r="C101" s="68">
        <f>C22*C15+C23*C16+C24*C17</f>
        <v>36168</v>
      </c>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row>
    <row r="102" spans="1:32" x14ac:dyDescent="0.2">
      <c r="A102" s="58" t="s">
        <v>88</v>
      </c>
      <c r="B102" s="64" t="s">
        <v>49</v>
      </c>
      <c r="C102" s="68">
        <f>C25*C99</f>
        <v>8228.735999999999</v>
      </c>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row>
    <row r="103" spans="1:32" x14ac:dyDescent="0.2">
      <c r="A103" s="58" t="s">
        <v>15</v>
      </c>
      <c r="B103" s="64" t="s">
        <v>49</v>
      </c>
      <c r="C103" s="68">
        <f>C27*C28</f>
        <v>1650</v>
      </c>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row>
    <row r="104" spans="1:32" x14ac:dyDescent="0.2">
      <c r="A104" s="61" t="s">
        <v>91</v>
      </c>
      <c r="B104" s="66" t="s">
        <v>49</v>
      </c>
      <c r="C104" s="67">
        <f>SUM(C100:C103)</f>
        <v>375196.17599999998</v>
      </c>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row>
    <row r="105" spans="1:32" x14ac:dyDescent="0.2">
      <c r="A105" s="62"/>
      <c r="B105" s="65"/>
      <c r="C105" s="68"/>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row>
    <row r="106" spans="1:32" x14ac:dyDescent="0.2">
      <c r="A106" s="61" t="s">
        <v>92</v>
      </c>
      <c r="B106" s="66"/>
      <c r="C106" s="68"/>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row>
    <row r="107" spans="1:32" x14ac:dyDescent="0.2">
      <c r="A107" s="63" t="s">
        <v>17</v>
      </c>
      <c r="B107" s="64" t="s">
        <v>49</v>
      </c>
      <c r="C107" s="68">
        <f>C30*$C$104</f>
        <v>11255.885279999999</v>
      </c>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row>
    <row r="108" spans="1:32" x14ac:dyDescent="0.2">
      <c r="A108" s="63" t="s">
        <v>18</v>
      </c>
      <c r="B108" s="64" t="s">
        <v>49</v>
      </c>
      <c r="C108" s="68">
        <f>C31*$C$104</f>
        <v>11255.885279999999</v>
      </c>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row>
    <row r="109" spans="1:32" x14ac:dyDescent="0.2">
      <c r="A109" s="63" t="s">
        <v>19</v>
      </c>
      <c r="B109" s="64" t="s">
        <v>49</v>
      </c>
      <c r="C109" s="68">
        <f>C32*$C$104</f>
        <v>5627.9426399999993</v>
      </c>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row>
    <row r="110" spans="1:32" x14ac:dyDescent="0.2">
      <c r="A110" s="63" t="s">
        <v>20</v>
      </c>
      <c r="B110" s="64" t="s">
        <v>49</v>
      </c>
      <c r="C110" s="68">
        <f>C33*$C$104</f>
        <v>7503.9235199999994</v>
      </c>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row>
    <row r="111" spans="1:32" x14ac:dyDescent="0.2">
      <c r="A111" s="63" t="s">
        <v>21</v>
      </c>
      <c r="B111" s="64" t="s">
        <v>49</v>
      </c>
      <c r="C111" s="68">
        <f>C34*$C$104</f>
        <v>13507.062335999999</v>
      </c>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row>
    <row r="112" spans="1:32" x14ac:dyDescent="0.2">
      <c r="A112" s="63" t="s">
        <v>22</v>
      </c>
      <c r="B112" s="64" t="s">
        <v>49</v>
      </c>
      <c r="C112" s="68">
        <f>C35*$C$104</f>
        <v>1500.7847039999999</v>
      </c>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row>
    <row r="113" spans="1:32" x14ac:dyDescent="0.2">
      <c r="A113" s="63" t="s">
        <v>23</v>
      </c>
      <c r="B113" s="64" t="s">
        <v>49</v>
      </c>
      <c r="C113" s="68">
        <f>C36*$C$104</f>
        <v>18759.808799999999</v>
      </c>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row>
    <row r="114" spans="1:32" x14ac:dyDescent="0.2">
      <c r="A114" s="61" t="s">
        <v>89</v>
      </c>
      <c r="B114" s="66" t="s">
        <v>49</v>
      </c>
      <c r="C114" s="67">
        <f>C104+SUM(C107:C113)</f>
        <v>444607.46855999995</v>
      </c>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row>
    <row r="115" spans="1:32" x14ac:dyDescent="0.2">
      <c r="A115" s="58" t="s">
        <v>90</v>
      </c>
      <c r="B115" s="64" t="s">
        <v>49</v>
      </c>
      <c r="C115" s="68">
        <f>C114*C37</f>
        <v>44460.746855999998</v>
      </c>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row>
    <row r="116" spans="1:32" x14ac:dyDescent="0.2">
      <c r="A116" s="61" t="s">
        <v>93</v>
      </c>
      <c r="B116" s="64"/>
      <c r="C116" s="67">
        <f>C114+C115</f>
        <v>489068.21541599993</v>
      </c>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row>
    <row r="117" spans="1:32" x14ac:dyDescent="0.2">
      <c r="A117" s="3"/>
      <c r="B117" s="1"/>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row>
    <row r="118" spans="1:32" x14ac:dyDescent="0.2">
      <c r="A118" s="57" t="s">
        <v>181</v>
      </c>
      <c r="B118" s="1"/>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row>
    <row r="119" spans="1:32" x14ac:dyDescent="0.2">
      <c r="A119" s="58" t="s">
        <v>57</v>
      </c>
      <c r="B119" s="64" t="s">
        <v>49</v>
      </c>
      <c r="C119" s="68">
        <f>C41*$C$100*(1+$C$37)</f>
        <v>108619.3152</v>
      </c>
      <c r="D119" s="68">
        <f>D41*$C$100*(1+$C$37)*D93</f>
        <v>215066.24409600004</v>
      </c>
      <c r="E119" s="68">
        <f>E41*$C$100*(1+$C$37)*E93</f>
        <v>63346.78462464</v>
      </c>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row>
    <row r="120" spans="1:32" x14ac:dyDescent="0.2">
      <c r="A120" s="58" t="s">
        <v>26</v>
      </c>
      <c r="B120" s="64" t="s">
        <v>49</v>
      </c>
      <c r="C120" s="68">
        <f>($C$101+$C$102)*(1+$C$37)*C42</f>
        <v>0</v>
      </c>
      <c r="D120" s="68">
        <f>($C$101+$C$102)*(1+$C$37)*D42</f>
        <v>0</v>
      </c>
      <c r="E120" s="68">
        <f>($C$101+$C$102)*(1+$C$37)*E42*E93</f>
        <v>56962.788157440002</v>
      </c>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row>
    <row r="121" spans="1:32" x14ac:dyDescent="0.2">
      <c r="A121" s="58" t="s">
        <v>95</v>
      </c>
      <c r="B121" s="64" t="s">
        <v>49</v>
      </c>
      <c r="C121" s="68">
        <f>$C$103*(1+$C$37)*C43</f>
        <v>0</v>
      </c>
      <c r="D121" s="68">
        <f>$C$103*(1+$C$37)*D43</f>
        <v>0</v>
      </c>
      <c r="E121" s="68">
        <f>$C$103*(1+$C$37)*E43*E93</f>
        <v>2117.0160000000005</v>
      </c>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row>
    <row r="122" spans="1:32" x14ac:dyDescent="0.2">
      <c r="A122" s="58" t="s">
        <v>27</v>
      </c>
      <c r="B122" s="64"/>
      <c r="C122" s="68"/>
      <c r="D122" s="68"/>
      <c r="E122" s="68"/>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row>
    <row r="123" spans="1:32" x14ac:dyDescent="0.2">
      <c r="A123" s="63" t="s">
        <v>17</v>
      </c>
      <c r="B123" s="64" t="s">
        <v>49</v>
      </c>
      <c r="C123" s="68">
        <f>$C$107*(1+$C$37)*C45</f>
        <v>12381.473807999999</v>
      </c>
      <c r="D123" s="68">
        <f>$C$107*(1+$C$37)*D45</f>
        <v>0</v>
      </c>
      <c r="E123" s="68">
        <f>$C$107*(1+$C$37)*E45</f>
        <v>0</v>
      </c>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row>
    <row r="124" spans="1:32" x14ac:dyDescent="0.2">
      <c r="A124" s="63" t="s">
        <v>18</v>
      </c>
      <c r="B124" s="64" t="s">
        <v>49</v>
      </c>
      <c r="C124" s="68">
        <f>$C$108*(1+$C$37)*C46</f>
        <v>12381.473807999999</v>
      </c>
      <c r="D124" s="68">
        <f>$C$108*(1+$C$37)*D46</f>
        <v>0</v>
      </c>
      <c r="E124" s="68">
        <f>$C$108*(1+$C$37)*E46</f>
        <v>0</v>
      </c>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row>
    <row r="125" spans="1:32" x14ac:dyDescent="0.2">
      <c r="A125" s="63" t="s">
        <v>19</v>
      </c>
      <c r="B125" s="64" t="s">
        <v>49</v>
      </c>
      <c r="C125" s="68">
        <f>$C$109*(1+$C$37)*C47</f>
        <v>6190.7369039999994</v>
      </c>
      <c r="D125" s="68">
        <f>$C$109*(1+$C$37)*D47</f>
        <v>0</v>
      </c>
      <c r="E125" s="68">
        <f>$C$109*(1+$C$37)*E47</f>
        <v>0</v>
      </c>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row>
    <row r="126" spans="1:32" x14ac:dyDescent="0.2">
      <c r="A126" s="63" t="s">
        <v>58</v>
      </c>
      <c r="B126" s="64" t="s">
        <v>49</v>
      </c>
      <c r="C126" s="68">
        <f>$C$110*(1+$C$37)*C48</f>
        <v>4127.1579359999996</v>
      </c>
      <c r="D126" s="68">
        <f>$C$110*(1+$C$37)*D48</f>
        <v>0</v>
      </c>
      <c r="E126" s="68">
        <f>$C$110*(1+$C$37)*E48*E93</f>
        <v>4813.9170165504001</v>
      </c>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row>
    <row r="127" spans="1:32" x14ac:dyDescent="0.2">
      <c r="A127" s="63" t="s">
        <v>21</v>
      </c>
      <c r="B127" s="64" t="s">
        <v>49</v>
      </c>
      <c r="C127" s="68">
        <f>$C$111*(1+$C$37)*C49</f>
        <v>7428.8842848000004</v>
      </c>
      <c r="D127" s="68">
        <f>$C$111*(1+$C$37)*D49*D93</f>
        <v>4813.9170165504001</v>
      </c>
      <c r="E127" s="68">
        <f>$C$111*(1+$C$37)*E49*E93</f>
        <v>3466.020251916289</v>
      </c>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row>
    <row r="128" spans="1:32" x14ac:dyDescent="0.2">
      <c r="A128" s="63" t="s">
        <v>22</v>
      </c>
      <c r="B128" s="64" t="s">
        <v>49</v>
      </c>
      <c r="C128" s="68">
        <f>$C$112*(1+$C$37)*C50</f>
        <v>577.80211103999989</v>
      </c>
      <c r="D128" s="68">
        <f>$C$112*(1+$C$37)*D50*D93</f>
        <v>534.87966850559997</v>
      </c>
      <c r="E128" s="68">
        <f>$C$112*(1+$C$37)*E50*E93</f>
        <v>673.94838231705592</v>
      </c>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row>
    <row r="129" spans="1:32" x14ac:dyDescent="0.2">
      <c r="A129" s="63" t="s">
        <v>23</v>
      </c>
      <c r="B129" s="64" t="s">
        <v>49</v>
      </c>
      <c r="C129" s="68">
        <f>$C$113*(1+$C$37)*C51</f>
        <v>6190.7369040000003</v>
      </c>
      <c r="D129" s="68">
        <f>$C$113*(1+$C$37)*D51*D93</f>
        <v>7800.3284990400007</v>
      </c>
      <c r="E129" s="68">
        <f>$C$113*(1+$C$37)*E51*E93</f>
        <v>8424.3547789632012</v>
      </c>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row>
    <row r="130" spans="1:32" x14ac:dyDescent="0.2">
      <c r="A130" s="61" t="s">
        <v>177</v>
      </c>
      <c r="B130" s="66" t="s">
        <v>49</v>
      </c>
      <c r="C130" s="67">
        <f>SUM(C119:C129)</f>
        <v>157897.58095583998</v>
      </c>
      <c r="D130" s="67">
        <f t="shared" ref="D130" si="1">SUM(D119:D129)</f>
        <v>228215.36928009606</v>
      </c>
      <c r="E130" s="67">
        <f>SUM(E119:E129)</f>
        <v>139804.82921182696</v>
      </c>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row>
    <row r="131" spans="1:32" x14ac:dyDescent="0.2">
      <c r="A131" s="69" t="s">
        <v>178</v>
      </c>
      <c r="B131" s="66" t="s">
        <v>49</v>
      </c>
      <c r="C131" s="67">
        <f>SUM(C130:E130)</f>
        <v>525917.77944776299</v>
      </c>
      <c r="D131" s="68"/>
      <c r="E131" s="68"/>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row>
    <row r="132" spans="1:32" x14ac:dyDescent="0.2">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row>
    <row r="133" spans="1:32" x14ac:dyDescent="0.2">
      <c r="A133" s="70" t="s">
        <v>96</v>
      </c>
      <c r="B133" s="1"/>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row>
    <row r="134" spans="1:32" x14ac:dyDescent="0.2">
      <c r="A134" s="71" t="s">
        <v>97</v>
      </c>
      <c r="B134" s="72" t="s">
        <v>49</v>
      </c>
      <c r="C134" s="130">
        <f>C130*C64</f>
        <v>126318.06476467199</v>
      </c>
      <c r="D134" s="130">
        <f>D130*D64</f>
        <v>68464.610784028817</v>
      </c>
      <c r="E134" s="130">
        <f>E130*E64</f>
        <v>0</v>
      </c>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row>
    <row r="135" spans="1:32" x14ac:dyDescent="0.2">
      <c r="A135" s="71" t="s">
        <v>98</v>
      </c>
      <c r="B135" s="72" t="s">
        <v>49</v>
      </c>
      <c r="C135" s="130">
        <f>C130*C65</f>
        <v>31579.516191167997</v>
      </c>
      <c r="D135" s="130">
        <f>D130*D65</f>
        <v>159750.75849606722</v>
      </c>
      <c r="E135" s="130">
        <f>E130*E65</f>
        <v>139804.82921182696</v>
      </c>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row>
    <row r="136" spans="1:32" x14ac:dyDescent="0.2">
      <c r="A136" s="1"/>
      <c r="B136" s="1"/>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row>
    <row r="137" spans="1:32" x14ac:dyDescent="0.2">
      <c r="A137" s="70" t="s">
        <v>182</v>
      </c>
      <c r="B137" s="1"/>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row>
    <row r="138" spans="1:32" x14ac:dyDescent="0.2">
      <c r="A138" s="71" t="s">
        <v>100</v>
      </c>
      <c r="B138" s="72" t="s">
        <v>49</v>
      </c>
      <c r="C138" s="130">
        <v>0</v>
      </c>
      <c r="D138" s="130">
        <f>C144</f>
        <v>31579.516191167997</v>
      </c>
      <c r="E138" s="130">
        <f>D144</f>
        <v>194961.91904921955</v>
      </c>
      <c r="F138" s="130">
        <f>E144</f>
        <v>357187.36895170674</v>
      </c>
      <c r="G138" s="130">
        <f t="shared" ref="G138:S138" si="2">F144</f>
        <v>357187.36895170674</v>
      </c>
      <c r="H138" s="130">
        <f t="shared" si="2"/>
        <v>357187.36895170674</v>
      </c>
      <c r="I138" s="130">
        <f t="shared" si="2"/>
        <v>357187.36895170674</v>
      </c>
      <c r="J138" s="130">
        <f t="shared" si="2"/>
        <v>357187.36895170674</v>
      </c>
      <c r="K138" s="130">
        <f t="shared" si="2"/>
        <v>321468.63205653604</v>
      </c>
      <c r="L138" s="130">
        <f t="shared" si="2"/>
        <v>285749.89516136539</v>
      </c>
      <c r="M138" s="130">
        <f t="shared" si="2"/>
        <v>250031.15826619472</v>
      </c>
      <c r="N138" s="130">
        <f t="shared" si="2"/>
        <v>214312.42137102404</v>
      </c>
      <c r="O138" s="130">
        <f t="shared" si="2"/>
        <v>178593.68447585337</v>
      </c>
      <c r="P138" s="130">
        <f t="shared" si="2"/>
        <v>142874.9475806827</v>
      </c>
      <c r="Q138" s="130">
        <f t="shared" si="2"/>
        <v>107156.21068551202</v>
      </c>
      <c r="R138" s="130">
        <f t="shared" si="2"/>
        <v>71437.473790341348</v>
      </c>
      <c r="S138" s="130">
        <f t="shared" si="2"/>
        <v>35718.736895170674</v>
      </c>
      <c r="T138" s="9"/>
      <c r="U138" s="9"/>
      <c r="V138" s="9"/>
      <c r="W138" s="9"/>
      <c r="X138" s="9"/>
      <c r="Y138" s="9"/>
      <c r="Z138" s="9"/>
      <c r="AA138" s="9"/>
      <c r="AB138" s="9"/>
      <c r="AC138" s="9"/>
      <c r="AD138" s="9"/>
      <c r="AE138" s="9"/>
      <c r="AF138" s="9"/>
    </row>
    <row r="139" spans="1:32" x14ac:dyDescent="0.2">
      <c r="A139" s="71" t="s">
        <v>101</v>
      </c>
      <c r="B139" s="72" t="s">
        <v>49</v>
      </c>
      <c r="C139" s="130">
        <f>C135</f>
        <v>31579.516191167997</v>
      </c>
      <c r="D139" s="130">
        <f t="shared" ref="D139" si="3">D135</f>
        <v>159750.75849606722</v>
      </c>
      <c r="E139" s="130">
        <f>E135</f>
        <v>139804.82921182696</v>
      </c>
      <c r="F139" s="130">
        <v>0</v>
      </c>
      <c r="G139" s="130">
        <v>0</v>
      </c>
      <c r="H139" s="130">
        <v>0</v>
      </c>
      <c r="I139" s="130">
        <v>0</v>
      </c>
      <c r="J139" s="130">
        <v>0</v>
      </c>
      <c r="K139" s="130">
        <v>0</v>
      </c>
      <c r="L139" s="130">
        <v>0</v>
      </c>
      <c r="M139" s="130">
        <v>0</v>
      </c>
      <c r="N139" s="130">
        <v>0</v>
      </c>
      <c r="O139" s="130">
        <v>0</v>
      </c>
      <c r="P139" s="130">
        <v>0</v>
      </c>
      <c r="Q139" s="130">
        <v>0</v>
      </c>
      <c r="R139" s="130">
        <v>0</v>
      </c>
      <c r="S139" s="130">
        <v>0</v>
      </c>
      <c r="T139" s="9"/>
      <c r="U139" s="9"/>
      <c r="V139" s="9"/>
      <c r="W139" s="9"/>
      <c r="X139" s="9"/>
      <c r="Y139" s="9"/>
      <c r="Z139" s="9"/>
      <c r="AA139" s="9"/>
      <c r="AB139" s="9"/>
      <c r="AC139" s="9"/>
      <c r="AD139" s="9"/>
      <c r="AE139" s="9"/>
      <c r="AF139" s="9"/>
    </row>
    <row r="140" spans="1:32" x14ac:dyDescent="0.2">
      <c r="A140" s="71" t="s">
        <v>102</v>
      </c>
      <c r="B140" s="72" t="s">
        <v>49</v>
      </c>
      <c r="C140" s="130">
        <f>C138*$C$58</f>
        <v>0</v>
      </c>
      <c r="D140" s="130">
        <f>D138*$C$58</f>
        <v>3631.6443619843199</v>
      </c>
      <c r="E140" s="130">
        <f>E138*$C$58</f>
        <v>22420.620690660249</v>
      </c>
      <c r="F140" s="130">
        <v>0</v>
      </c>
      <c r="G140" s="130">
        <v>0</v>
      </c>
      <c r="H140" s="130">
        <v>0</v>
      </c>
      <c r="I140" s="130">
        <v>0</v>
      </c>
      <c r="J140" s="130">
        <v>0</v>
      </c>
      <c r="K140" s="130">
        <v>0</v>
      </c>
      <c r="L140" s="130">
        <v>0</v>
      </c>
      <c r="M140" s="130">
        <v>0</v>
      </c>
      <c r="N140" s="130">
        <v>0</v>
      </c>
      <c r="O140" s="130">
        <v>0</v>
      </c>
      <c r="P140" s="130">
        <v>0</v>
      </c>
      <c r="Q140" s="130">
        <v>0</v>
      </c>
      <c r="R140" s="130">
        <v>0</v>
      </c>
      <c r="S140" s="130">
        <v>0</v>
      </c>
      <c r="T140" s="9"/>
      <c r="U140" s="9"/>
      <c r="V140" s="9"/>
      <c r="W140" s="9"/>
      <c r="X140" s="9"/>
      <c r="Y140" s="9"/>
      <c r="Z140" s="9"/>
      <c r="AA140" s="9"/>
      <c r="AB140" s="9"/>
      <c r="AC140" s="9"/>
      <c r="AD140" s="9"/>
      <c r="AE140" s="9"/>
      <c r="AF140" s="9"/>
    </row>
    <row r="141" spans="1:32" x14ac:dyDescent="0.2">
      <c r="A141" s="71" t="s">
        <v>103</v>
      </c>
      <c r="B141" s="72" t="s">
        <v>49</v>
      </c>
      <c r="C141" s="130">
        <v>0</v>
      </c>
      <c r="D141" s="130">
        <v>0</v>
      </c>
      <c r="E141" s="130">
        <v>0</v>
      </c>
      <c r="F141" s="130">
        <f>F138*$C$58</f>
        <v>41076.547429446277</v>
      </c>
      <c r="G141" s="130">
        <f t="shared" ref="G141:S141" si="4">G138*$C$58</f>
        <v>41076.547429446277</v>
      </c>
      <c r="H141" s="130">
        <f t="shared" si="4"/>
        <v>41076.547429446277</v>
      </c>
      <c r="I141" s="130">
        <f t="shared" si="4"/>
        <v>41076.547429446277</v>
      </c>
      <c r="J141" s="130">
        <f t="shared" si="4"/>
        <v>41076.547429446277</v>
      </c>
      <c r="K141" s="130">
        <f t="shared" si="4"/>
        <v>36968.892686501647</v>
      </c>
      <c r="L141" s="130">
        <f t="shared" si="4"/>
        <v>32861.237943557018</v>
      </c>
      <c r="M141" s="130">
        <f t="shared" si="4"/>
        <v>28753.583200612393</v>
      </c>
      <c r="N141" s="130">
        <f t="shared" si="4"/>
        <v>24645.928457667767</v>
      </c>
      <c r="O141" s="130">
        <f t="shared" si="4"/>
        <v>20538.273714723138</v>
      </c>
      <c r="P141" s="130">
        <f t="shared" si="4"/>
        <v>16430.618971778509</v>
      </c>
      <c r="Q141" s="130">
        <f t="shared" si="4"/>
        <v>12322.964228833884</v>
      </c>
      <c r="R141" s="130">
        <f t="shared" si="4"/>
        <v>8215.3094858892546</v>
      </c>
      <c r="S141" s="130">
        <f t="shared" si="4"/>
        <v>4107.6547429446273</v>
      </c>
      <c r="T141" s="9"/>
      <c r="U141" s="9"/>
      <c r="V141" s="9"/>
      <c r="W141" s="9"/>
      <c r="X141" s="9"/>
      <c r="Y141" s="9"/>
      <c r="Z141" s="9"/>
      <c r="AA141" s="9"/>
      <c r="AB141" s="9"/>
      <c r="AC141" s="9"/>
      <c r="AD141" s="9"/>
      <c r="AE141" s="9"/>
      <c r="AF141" s="9"/>
    </row>
    <row r="142" spans="1:32" x14ac:dyDescent="0.2">
      <c r="A142" s="71" t="s">
        <v>104</v>
      </c>
      <c r="B142" s="72" t="s">
        <v>49</v>
      </c>
      <c r="C142" s="130">
        <v>0</v>
      </c>
      <c r="D142" s="130">
        <v>0</v>
      </c>
      <c r="E142" s="130">
        <v>0</v>
      </c>
      <c r="F142" s="130">
        <v>0</v>
      </c>
      <c r="G142" s="130">
        <v>0</v>
      </c>
      <c r="H142" s="130">
        <v>0</v>
      </c>
      <c r="I142" s="130">
        <v>0</v>
      </c>
      <c r="J142" s="130">
        <f>$F$138/$C$61</f>
        <v>35718.736895170674</v>
      </c>
      <c r="K142" s="130">
        <f>$F$138/$C$61</f>
        <v>35718.736895170674</v>
      </c>
      <c r="L142" s="130">
        <f>$F$138/$C$61</f>
        <v>35718.736895170674</v>
      </c>
      <c r="M142" s="130">
        <f>$F$138/$C$61</f>
        <v>35718.736895170674</v>
      </c>
      <c r="N142" s="130">
        <f>$F$138/$C$61</f>
        <v>35718.736895170674</v>
      </c>
      <c r="O142" s="130">
        <f>$F$138/$C$61</f>
        <v>35718.736895170674</v>
      </c>
      <c r="P142" s="130">
        <f>$F$138/$C$61</f>
        <v>35718.736895170674</v>
      </c>
      <c r="Q142" s="130">
        <f>$F$138/$C$61</f>
        <v>35718.736895170674</v>
      </c>
      <c r="R142" s="130">
        <f>$F$138/$C$61</f>
        <v>35718.736895170674</v>
      </c>
      <c r="S142" s="130">
        <f>$F$138/$C$61</f>
        <v>35718.736895170674</v>
      </c>
      <c r="T142" s="9"/>
      <c r="U142" s="9"/>
      <c r="V142" s="9"/>
      <c r="W142" s="9"/>
      <c r="X142" s="9"/>
      <c r="Y142" s="9"/>
      <c r="Z142" s="9"/>
      <c r="AA142" s="9"/>
      <c r="AB142" s="9"/>
      <c r="AC142" s="9"/>
      <c r="AD142" s="9"/>
      <c r="AE142" s="9"/>
      <c r="AF142" s="9"/>
    </row>
    <row r="143" spans="1:32" x14ac:dyDescent="0.2">
      <c r="A143" s="71" t="s">
        <v>105</v>
      </c>
      <c r="B143" s="72" t="s">
        <v>49</v>
      </c>
      <c r="C143" s="130">
        <f>C141+C142</f>
        <v>0</v>
      </c>
      <c r="D143" s="130">
        <f t="shared" ref="D143:E143" si="5">D141+D142</f>
        <v>0</v>
      </c>
      <c r="E143" s="130">
        <f t="shared" si="5"/>
        <v>0</v>
      </c>
      <c r="F143" s="130">
        <f>F141+F142</f>
        <v>41076.547429446277</v>
      </c>
      <c r="G143" s="130">
        <f t="shared" ref="G143:S143" si="6">G141+G142</f>
        <v>41076.547429446277</v>
      </c>
      <c r="H143" s="130">
        <f t="shared" si="6"/>
        <v>41076.547429446277</v>
      </c>
      <c r="I143" s="130">
        <f t="shared" si="6"/>
        <v>41076.547429446277</v>
      </c>
      <c r="J143" s="130">
        <f t="shared" si="6"/>
        <v>76795.28432461695</v>
      </c>
      <c r="K143" s="130">
        <f t="shared" si="6"/>
        <v>72687.629581672314</v>
      </c>
      <c r="L143" s="130">
        <f t="shared" si="6"/>
        <v>68579.974838727692</v>
      </c>
      <c r="M143" s="130">
        <f t="shared" si="6"/>
        <v>64472.32009578307</v>
      </c>
      <c r="N143" s="130">
        <f t="shared" si="6"/>
        <v>60364.665352838441</v>
      </c>
      <c r="O143" s="130">
        <f t="shared" si="6"/>
        <v>56257.010609893812</v>
      </c>
      <c r="P143" s="130">
        <f t="shared" si="6"/>
        <v>52149.355866949183</v>
      </c>
      <c r="Q143" s="130">
        <f t="shared" si="6"/>
        <v>48041.701124004554</v>
      </c>
      <c r="R143" s="130">
        <f t="shared" si="6"/>
        <v>43934.046381059932</v>
      </c>
      <c r="S143" s="130">
        <f t="shared" si="6"/>
        <v>39826.391638115303</v>
      </c>
      <c r="T143" s="9"/>
      <c r="U143" s="9"/>
      <c r="V143" s="9"/>
      <c r="W143" s="9"/>
      <c r="X143" s="9"/>
      <c r="Y143" s="9"/>
      <c r="Z143" s="9"/>
      <c r="AA143" s="9"/>
      <c r="AB143" s="9"/>
      <c r="AC143" s="9"/>
      <c r="AD143" s="9"/>
      <c r="AE143" s="9"/>
      <c r="AF143" s="9"/>
    </row>
    <row r="144" spans="1:32" x14ac:dyDescent="0.2">
      <c r="A144" s="71" t="s">
        <v>106</v>
      </c>
      <c r="B144" s="72" t="s">
        <v>49</v>
      </c>
      <c r="C144" s="130">
        <f>C138+C139+C140-C142</f>
        <v>31579.516191167997</v>
      </c>
      <c r="D144" s="130">
        <f>D138+D139+D140-D142</f>
        <v>194961.91904921955</v>
      </c>
      <c r="E144" s="130">
        <f t="shared" ref="E144" si="7">E138+E139+E140-E142</f>
        <v>357187.36895170674</v>
      </c>
      <c r="F144" s="130">
        <f>F138+F139+F140-F142</f>
        <v>357187.36895170674</v>
      </c>
      <c r="G144" s="130">
        <f t="shared" ref="G144:S144" si="8">G138+G139+G140-G142</f>
        <v>357187.36895170674</v>
      </c>
      <c r="H144" s="130">
        <f t="shared" si="8"/>
        <v>357187.36895170674</v>
      </c>
      <c r="I144" s="130">
        <f t="shared" si="8"/>
        <v>357187.36895170674</v>
      </c>
      <c r="J144" s="130">
        <f t="shared" si="8"/>
        <v>321468.63205653604</v>
      </c>
      <c r="K144" s="130">
        <f t="shared" si="8"/>
        <v>285749.89516136539</v>
      </c>
      <c r="L144" s="130">
        <f t="shared" si="8"/>
        <v>250031.15826619472</v>
      </c>
      <c r="M144" s="130">
        <f t="shared" si="8"/>
        <v>214312.42137102404</v>
      </c>
      <c r="N144" s="130">
        <f t="shared" si="8"/>
        <v>178593.68447585337</v>
      </c>
      <c r="O144" s="130">
        <f t="shared" si="8"/>
        <v>142874.9475806827</v>
      </c>
      <c r="P144" s="130">
        <f t="shared" si="8"/>
        <v>107156.21068551202</v>
      </c>
      <c r="Q144" s="130">
        <f t="shared" si="8"/>
        <v>71437.473790341348</v>
      </c>
      <c r="R144" s="130">
        <f t="shared" si="8"/>
        <v>35718.736895170674</v>
      </c>
      <c r="S144" s="130">
        <f t="shared" si="8"/>
        <v>0</v>
      </c>
      <c r="T144" s="9"/>
      <c r="U144" s="9"/>
      <c r="V144" s="9"/>
      <c r="W144" s="9"/>
      <c r="X144" s="9"/>
      <c r="Y144" s="9"/>
      <c r="Z144" s="9"/>
      <c r="AA144" s="9"/>
      <c r="AB144" s="9"/>
      <c r="AC144" s="9"/>
      <c r="AD144" s="9"/>
      <c r="AE144" s="9"/>
      <c r="AF144" s="9"/>
    </row>
    <row r="145" spans="1:32" x14ac:dyDescent="0.2">
      <c r="A145" s="73" t="s">
        <v>107</v>
      </c>
      <c r="B145" s="72" t="s">
        <v>49</v>
      </c>
      <c r="C145" s="130">
        <f>C139-C143</f>
        <v>31579.516191167997</v>
      </c>
      <c r="D145" s="130">
        <f>D139-D143</f>
        <v>159750.75849606722</v>
      </c>
      <c r="E145" s="130">
        <f>E139-E143</f>
        <v>139804.82921182696</v>
      </c>
      <c r="F145" s="130">
        <f>F139-F143</f>
        <v>-41076.547429446277</v>
      </c>
      <c r="G145" s="130">
        <f>G139-G143</f>
        <v>-41076.547429446277</v>
      </c>
      <c r="H145" s="130">
        <f>H139-H143</f>
        <v>-41076.547429446277</v>
      </c>
      <c r="I145" s="130">
        <f>I139-I143</f>
        <v>-41076.547429446277</v>
      </c>
      <c r="J145" s="130">
        <f>J139-J143</f>
        <v>-76795.28432461695</v>
      </c>
      <c r="K145" s="130">
        <f>K139-K143</f>
        <v>-72687.629581672314</v>
      </c>
      <c r="L145" s="130">
        <f>L139-L143</f>
        <v>-68579.974838727692</v>
      </c>
      <c r="M145" s="130">
        <f>M139-M143</f>
        <v>-64472.32009578307</v>
      </c>
      <c r="N145" s="130">
        <f>N139-N143</f>
        <v>-60364.665352838441</v>
      </c>
      <c r="O145" s="130">
        <f>O139-O143</f>
        <v>-56257.010609893812</v>
      </c>
      <c r="P145" s="130">
        <f>P139-P143</f>
        <v>-52149.355866949183</v>
      </c>
      <c r="Q145" s="130">
        <f>Q139-Q143</f>
        <v>-48041.701124004554</v>
      </c>
      <c r="R145" s="130">
        <f>R139-R143</f>
        <v>-43934.046381059932</v>
      </c>
      <c r="S145" s="130">
        <f>S139-S143</f>
        <v>-39826.391638115303</v>
      </c>
      <c r="T145" s="9"/>
      <c r="U145" s="9"/>
      <c r="V145" s="9"/>
      <c r="W145" s="9"/>
      <c r="X145" s="9"/>
      <c r="Y145" s="9"/>
      <c r="Z145" s="9"/>
      <c r="AA145" s="9"/>
      <c r="AB145" s="9"/>
      <c r="AC145" s="9"/>
      <c r="AD145" s="9"/>
      <c r="AE145" s="9"/>
      <c r="AF145" s="9"/>
    </row>
    <row r="146" spans="1:32" x14ac:dyDescent="0.2">
      <c r="A146" s="73" t="s">
        <v>108</v>
      </c>
      <c r="B146" s="72" t="s">
        <v>49</v>
      </c>
      <c r="C146" s="131">
        <f>SUM(C140:E140)+C131</f>
        <v>551970.04450040753</v>
      </c>
      <c r="D146" s="130"/>
      <c r="E146" s="130"/>
      <c r="F146" s="130"/>
      <c r="G146" s="130"/>
      <c r="H146" s="130"/>
      <c r="I146" s="130"/>
      <c r="J146" s="130"/>
      <c r="K146" s="130"/>
      <c r="L146" s="130"/>
      <c r="M146" s="130"/>
      <c r="N146" s="130"/>
      <c r="O146" s="130"/>
      <c r="P146" s="130"/>
      <c r="Q146" s="130"/>
      <c r="R146" s="130"/>
      <c r="S146" s="130"/>
      <c r="T146" s="9"/>
      <c r="U146" s="9"/>
      <c r="V146" s="9"/>
      <c r="W146" s="9"/>
      <c r="X146" s="9"/>
      <c r="Y146" s="9"/>
      <c r="Z146" s="9"/>
      <c r="AA146" s="9"/>
      <c r="AB146" s="9"/>
      <c r="AC146" s="9"/>
      <c r="AD146" s="9"/>
      <c r="AE146" s="9"/>
      <c r="AF146" s="9"/>
    </row>
    <row r="147" spans="1:32" x14ac:dyDescent="0.2">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row>
    <row r="148" spans="1:32" x14ac:dyDescent="0.2">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row>
    <row r="149" spans="1:32" x14ac:dyDescent="0.2">
      <c r="A149" s="74" t="s">
        <v>110</v>
      </c>
      <c r="B149" s="1"/>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row>
    <row r="150" spans="1:32" x14ac:dyDescent="0.2">
      <c r="A150" s="75" t="s">
        <v>125</v>
      </c>
      <c r="B150" s="76" t="s">
        <v>49</v>
      </c>
      <c r="C150" s="132"/>
      <c r="D150" s="132"/>
      <c r="E150" s="132"/>
      <c r="F150" s="132">
        <f>(SUM($C$119:$E$119)+SUM($C$121:$E$121))/$C$68</f>
        <v>15565.974396825603</v>
      </c>
      <c r="G150" s="132">
        <f>(SUM($C$119:$E$119)+SUM($C$121:$E$121))/$C$68</f>
        <v>15565.974396825603</v>
      </c>
      <c r="H150" s="132">
        <f>(SUM($C$119:$E$119)+SUM($C$121:$E$121))/$C$68</f>
        <v>15565.974396825603</v>
      </c>
      <c r="I150" s="132">
        <f>(SUM($C$119:$E$119)+SUM($C$121:$E$121))/$C$68</f>
        <v>15565.974396825603</v>
      </c>
      <c r="J150" s="132">
        <f>(SUM($C$119:$E$119)+SUM($C$121:$E$121))/$C$68</f>
        <v>15565.974396825603</v>
      </c>
      <c r="K150" s="132">
        <f>(SUM($C$119:$E$119)+SUM($C$121:$E$121))/$C$68</f>
        <v>15565.974396825603</v>
      </c>
      <c r="L150" s="132">
        <f>(SUM($C$119:$E$119)+SUM($C$121:$E$121))/$C$68</f>
        <v>15565.974396825603</v>
      </c>
      <c r="M150" s="132">
        <f>(SUM($C$119:$E$119)+SUM($C$121:$E$121))/$C$68</f>
        <v>15565.974396825603</v>
      </c>
      <c r="N150" s="132">
        <f>(SUM($C$119:$E$119)+SUM($C$121:$E$121))/$C$68</f>
        <v>15565.974396825603</v>
      </c>
      <c r="O150" s="132">
        <f>(SUM($C$119:$E$119)+SUM($C$121:$E$121))/$C$68</f>
        <v>15565.974396825603</v>
      </c>
      <c r="P150" s="132">
        <f>(SUM($C$119:$E$119)+SUM($C$121:$E$121))/$C$68</f>
        <v>15565.974396825603</v>
      </c>
      <c r="Q150" s="132">
        <f>(SUM($C$119:$E$119)+SUM($C$121:$E$121))/$C$68</f>
        <v>15565.974396825603</v>
      </c>
      <c r="R150" s="132">
        <f>(SUM($C$119:$E$119)+SUM($C$121:$E$121))/$C$68</f>
        <v>15565.974396825603</v>
      </c>
      <c r="S150" s="132">
        <f>(SUM($C$119:$E$119)+SUM($C$121:$E$121))/$C$68</f>
        <v>15565.974396825603</v>
      </c>
      <c r="T150" s="132">
        <f>(SUM($C$119:$E$119)+SUM($C$121:$E$121))/$C$68</f>
        <v>15565.974396825603</v>
      </c>
      <c r="U150" s="132">
        <f>(SUM($C$119:$E$119)+SUM($C$121:$E$121))/$C$68</f>
        <v>15565.974396825603</v>
      </c>
      <c r="V150" s="132">
        <f>(SUM($C$119:$E$119)+SUM($C$121:$E$121))/$C$68</f>
        <v>15565.974396825603</v>
      </c>
      <c r="W150" s="132">
        <f>(SUM($C$119:$E$119)+SUM($C$121:$E$121))/$C$68</f>
        <v>15565.974396825603</v>
      </c>
      <c r="X150" s="132">
        <f>(SUM($C$119:$E$119)+SUM($C$121:$E$121))/$C$68</f>
        <v>15565.974396825603</v>
      </c>
      <c r="Y150" s="132">
        <f>(SUM($C$119:$E$119)+SUM($C$121:$E$121))/$C$68</f>
        <v>15565.974396825603</v>
      </c>
      <c r="Z150" s="132">
        <f>(SUM($C$119:$E$119)+SUM($C$121:$E$121))/$C$68</f>
        <v>15565.974396825603</v>
      </c>
      <c r="AA150" s="132">
        <f>(SUM($C$119:$E$119)+SUM($C$121:$E$121))/$C$68</f>
        <v>15565.974396825603</v>
      </c>
      <c r="AB150" s="132">
        <f>(SUM($C$119:$E$119)+SUM($C$121:$E$121))/$C$68</f>
        <v>15565.974396825603</v>
      </c>
      <c r="AC150" s="132">
        <f>(SUM($C$119:$E$119)+SUM($C$121:$E$121))/$C$68</f>
        <v>15565.974396825603</v>
      </c>
      <c r="AD150" s="132">
        <f>(SUM($C$119:$E$119)+SUM($C$121:$E$121))/$C$68</f>
        <v>15565.974396825603</v>
      </c>
      <c r="AE150" s="9"/>
      <c r="AF150" s="9"/>
    </row>
    <row r="151" spans="1:32" x14ac:dyDescent="0.2">
      <c r="A151" s="75" t="s">
        <v>30</v>
      </c>
      <c r="B151" s="76" t="s">
        <v>49</v>
      </c>
      <c r="C151" s="132"/>
      <c r="D151" s="132"/>
      <c r="E151" s="132"/>
      <c r="F151" s="132">
        <f>SUM($C$120:$E$120)/$C$69</f>
        <v>11392.557631488</v>
      </c>
      <c r="G151" s="132">
        <f>SUM($C$120:$E$120)/$C$69</f>
        <v>11392.557631488</v>
      </c>
      <c r="H151" s="132">
        <f>SUM($C$120:$E$120)/$C$69</f>
        <v>11392.557631488</v>
      </c>
      <c r="I151" s="132">
        <f>SUM($C$120:$E$120)/$C$69</f>
        <v>11392.557631488</v>
      </c>
      <c r="J151" s="132">
        <f>SUM($C$120:$E$120)/$C$69</f>
        <v>11392.557631488</v>
      </c>
      <c r="K151" s="132"/>
      <c r="L151" s="132"/>
      <c r="M151" s="132"/>
      <c r="N151" s="132"/>
      <c r="O151" s="132"/>
      <c r="P151" s="132"/>
      <c r="Q151" s="132"/>
      <c r="R151" s="132"/>
      <c r="S151" s="132"/>
      <c r="T151" s="132"/>
      <c r="U151" s="132"/>
      <c r="V151" s="132"/>
      <c r="W151" s="132"/>
      <c r="X151" s="132"/>
      <c r="Y151" s="132"/>
      <c r="Z151" s="132"/>
      <c r="AA151" s="132"/>
      <c r="AB151" s="132"/>
      <c r="AC151" s="132"/>
      <c r="AD151" s="132"/>
      <c r="AE151" s="9"/>
      <c r="AF151" s="9"/>
    </row>
    <row r="152" spans="1:32" x14ac:dyDescent="0.2">
      <c r="A152" s="75" t="s">
        <v>111</v>
      </c>
      <c r="B152" s="76" t="s">
        <v>49</v>
      </c>
      <c r="C152" s="132"/>
      <c r="D152" s="132"/>
      <c r="E152" s="132"/>
      <c r="F152" s="132">
        <f>(SUM($C$123:$E$125)+SUM($D$140:$E$140))/$C$70</f>
        <v>2280.2379829057822</v>
      </c>
      <c r="G152" s="132">
        <f>(SUM($C$123:$E$125)+SUM($D$140:$E$140))/$C$70</f>
        <v>2280.2379829057822</v>
      </c>
      <c r="H152" s="132">
        <f>(SUM($C$123:$E$125)+SUM($D$140:$E$140))/$C$70</f>
        <v>2280.2379829057822</v>
      </c>
      <c r="I152" s="132">
        <f>(SUM($C$123:$E$125)+SUM($D$140:$E$140))/$C$70</f>
        <v>2280.2379829057822</v>
      </c>
      <c r="J152" s="132">
        <f>(SUM($C$123:$E$125)+SUM($D$140:$E$140))/$C$70</f>
        <v>2280.2379829057822</v>
      </c>
      <c r="K152" s="132">
        <f>(SUM($C$123:$E$125)+SUM($D$140:$E$140))/$C$70</f>
        <v>2280.2379829057822</v>
      </c>
      <c r="L152" s="132">
        <f>(SUM($C$123:$E$125)+SUM($D$140:$E$140))/$C$70</f>
        <v>2280.2379829057822</v>
      </c>
      <c r="M152" s="132">
        <f>(SUM($C$123:$E$125)+SUM($D$140:$E$140))/$C$70</f>
        <v>2280.2379829057822</v>
      </c>
      <c r="N152" s="132">
        <f>(SUM($C$123:$E$125)+SUM($D$140:$E$140))/$C$70</f>
        <v>2280.2379829057822</v>
      </c>
      <c r="O152" s="132">
        <f>(SUM($C$123:$E$125)+SUM($D$140:$E$140))/$C$70</f>
        <v>2280.2379829057822</v>
      </c>
      <c r="P152" s="132">
        <f>(SUM($C$123:$E$125)+SUM($D$140:$E$140))/$C$70</f>
        <v>2280.2379829057822</v>
      </c>
      <c r="Q152" s="132">
        <f>(SUM($C$123:$E$125)+SUM($D$140:$E$140))/$C$70</f>
        <v>2280.2379829057822</v>
      </c>
      <c r="R152" s="132">
        <f>(SUM($C$123:$E$125)+SUM($D$140:$E$140))/$C$70</f>
        <v>2280.2379829057822</v>
      </c>
      <c r="S152" s="132">
        <f>(SUM($C$123:$E$125)+SUM($D$140:$E$140))/$C$70</f>
        <v>2280.2379829057822</v>
      </c>
      <c r="T152" s="132">
        <f>(SUM($C$123:$E$125)+SUM($D$140:$E$140))/$C$70</f>
        <v>2280.2379829057822</v>
      </c>
      <c r="U152" s="132">
        <f>(SUM($C$123:$E$125)+SUM($D$140:$E$140))/$C$70</f>
        <v>2280.2379829057822</v>
      </c>
      <c r="V152" s="132">
        <f>(SUM($C$123:$E$125)+SUM($D$140:$E$140))/$C$70</f>
        <v>2280.2379829057822</v>
      </c>
      <c r="W152" s="132">
        <f>(SUM($C$123:$E$125)+SUM($D$140:$E$140))/$C$70</f>
        <v>2280.2379829057822</v>
      </c>
      <c r="X152" s="132">
        <f>(SUM($C$123:$E$125)+SUM($D$140:$E$140))/$C$70</f>
        <v>2280.2379829057822</v>
      </c>
      <c r="Y152" s="132">
        <f>(SUM($C$123:$E$125)+SUM($D$140:$E$140))/$C$70</f>
        <v>2280.2379829057822</v>
      </c>
      <c r="Z152" s="132">
        <f>(SUM($C$123:$E$125)+SUM($D$140:$E$140))/$C$70</f>
        <v>2280.2379829057822</v>
      </c>
      <c r="AA152" s="132">
        <f>(SUM($C$123:$E$125)+SUM($D$140:$E$140))/$C$70</f>
        <v>2280.2379829057822</v>
      </c>
      <c r="AB152" s="132">
        <f>(SUM($C$123:$E$125)+SUM($D$140:$E$140))/$C$70</f>
        <v>2280.2379829057822</v>
      </c>
      <c r="AC152" s="132">
        <f>(SUM($C$123:$E$125)+SUM($D$140:$E$140))/$C$70</f>
        <v>2280.2379829057822</v>
      </c>
      <c r="AD152" s="132">
        <f>(SUM($C$123:$E$125)+SUM($D$140:$E$140))/$C$70</f>
        <v>2280.2379829057822</v>
      </c>
      <c r="AE152" s="9"/>
      <c r="AF152" s="9"/>
    </row>
    <row r="153" spans="1:32" x14ac:dyDescent="0.2">
      <c r="A153" s="75" t="s">
        <v>112</v>
      </c>
      <c r="B153" s="76" t="s">
        <v>49</v>
      </c>
      <c r="C153" s="132"/>
      <c r="D153" s="132"/>
      <c r="E153" s="132"/>
      <c r="F153" s="132">
        <f>SUM(C119:E125)+SUM(C140:E140)</f>
        <v>503118.09765072464</v>
      </c>
      <c r="G153" s="132">
        <f>F155</f>
        <v>473879.32763950527</v>
      </c>
      <c r="H153" s="132">
        <f t="shared" ref="H153:AD153" si="9">G155</f>
        <v>444640.5576282859</v>
      </c>
      <c r="I153" s="132">
        <f t="shared" si="9"/>
        <v>415401.78761706653</v>
      </c>
      <c r="J153" s="132">
        <f t="shared" si="9"/>
        <v>386163.01760584716</v>
      </c>
      <c r="K153" s="132">
        <f t="shared" si="9"/>
        <v>356924.24759462778</v>
      </c>
      <c r="L153" s="132">
        <f t="shared" si="9"/>
        <v>339078.03521489643</v>
      </c>
      <c r="M153" s="132">
        <f t="shared" si="9"/>
        <v>321231.82283516508</v>
      </c>
      <c r="N153" s="132">
        <f t="shared" si="9"/>
        <v>303385.61045543372</v>
      </c>
      <c r="O153" s="132">
        <f t="shared" si="9"/>
        <v>285539.39807570237</v>
      </c>
      <c r="P153" s="132">
        <f t="shared" si="9"/>
        <v>267693.18569597101</v>
      </c>
      <c r="Q153" s="132">
        <f t="shared" si="9"/>
        <v>249846.97331623963</v>
      </c>
      <c r="R153" s="132">
        <f t="shared" si="9"/>
        <v>232000.76093650825</v>
      </c>
      <c r="S153" s="132">
        <f t="shared" si="9"/>
        <v>214154.54855677686</v>
      </c>
      <c r="T153" s="132">
        <f t="shared" si="9"/>
        <v>196308.33617704548</v>
      </c>
      <c r="U153" s="132">
        <f t="shared" si="9"/>
        <v>178462.1237973141</v>
      </c>
      <c r="V153" s="132">
        <f t="shared" si="9"/>
        <v>160615.91141758271</v>
      </c>
      <c r="W153" s="132">
        <f t="shared" si="9"/>
        <v>142769.69903785133</v>
      </c>
      <c r="X153" s="132">
        <f t="shared" si="9"/>
        <v>124923.48665811995</v>
      </c>
      <c r="Y153" s="132">
        <f t="shared" si="9"/>
        <v>107077.27427838856</v>
      </c>
      <c r="Z153" s="132">
        <f t="shared" si="9"/>
        <v>89231.061898657179</v>
      </c>
      <c r="AA153" s="132">
        <f t="shared" si="9"/>
        <v>71384.849518925796</v>
      </c>
      <c r="AB153" s="132">
        <f t="shared" si="9"/>
        <v>53538.637139194412</v>
      </c>
      <c r="AC153" s="132">
        <f t="shared" si="9"/>
        <v>35692.424759463029</v>
      </c>
      <c r="AD153" s="132">
        <f t="shared" si="9"/>
        <v>17846.212379731645</v>
      </c>
      <c r="AE153" s="9"/>
      <c r="AF153" s="9"/>
    </row>
    <row r="154" spans="1:32" x14ac:dyDescent="0.2">
      <c r="A154" s="75" t="s">
        <v>113</v>
      </c>
      <c r="B154" s="76" t="s">
        <v>49</v>
      </c>
      <c r="C154" s="132"/>
      <c r="D154" s="132"/>
      <c r="E154" s="132"/>
      <c r="F154" s="132">
        <f>SUM(F150:F152)</f>
        <v>29238.770011219385</v>
      </c>
      <c r="G154" s="132">
        <f>SUM(G150:G152)</f>
        <v>29238.770011219385</v>
      </c>
      <c r="H154" s="132">
        <f t="shared" ref="H154:AD154" si="10">SUM(H150:H152)</f>
        <v>29238.770011219385</v>
      </c>
      <c r="I154" s="132">
        <f t="shared" si="10"/>
        <v>29238.770011219385</v>
      </c>
      <c r="J154" s="132">
        <f t="shared" si="10"/>
        <v>29238.770011219385</v>
      </c>
      <c r="K154" s="132">
        <f t="shared" si="10"/>
        <v>17846.212379731383</v>
      </c>
      <c r="L154" s="132">
        <f t="shared" si="10"/>
        <v>17846.212379731383</v>
      </c>
      <c r="M154" s="132">
        <f t="shared" si="10"/>
        <v>17846.212379731383</v>
      </c>
      <c r="N154" s="132">
        <f t="shared" si="10"/>
        <v>17846.212379731383</v>
      </c>
      <c r="O154" s="132">
        <f t="shared" si="10"/>
        <v>17846.212379731383</v>
      </c>
      <c r="P154" s="132">
        <f t="shared" si="10"/>
        <v>17846.212379731383</v>
      </c>
      <c r="Q154" s="132">
        <f t="shared" si="10"/>
        <v>17846.212379731383</v>
      </c>
      <c r="R154" s="132">
        <f t="shared" si="10"/>
        <v>17846.212379731383</v>
      </c>
      <c r="S154" s="132">
        <f t="shared" si="10"/>
        <v>17846.212379731383</v>
      </c>
      <c r="T154" s="132">
        <f t="shared" si="10"/>
        <v>17846.212379731383</v>
      </c>
      <c r="U154" s="132">
        <f t="shared" si="10"/>
        <v>17846.212379731383</v>
      </c>
      <c r="V154" s="132">
        <f t="shared" si="10"/>
        <v>17846.212379731383</v>
      </c>
      <c r="W154" s="132">
        <f t="shared" si="10"/>
        <v>17846.212379731383</v>
      </c>
      <c r="X154" s="132">
        <f t="shared" si="10"/>
        <v>17846.212379731383</v>
      </c>
      <c r="Y154" s="132">
        <f t="shared" si="10"/>
        <v>17846.212379731383</v>
      </c>
      <c r="Z154" s="132">
        <f t="shared" si="10"/>
        <v>17846.212379731383</v>
      </c>
      <c r="AA154" s="132">
        <f t="shared" si="10"/>
        <v>17846.212379731383</v>
      </c>
      <c r="AB154" s="132">
        <f t="shared" si="10"/>
        <v>17846.212379731383</v>
      </c>
      <c r="AC154" s="132">
        <f t="shared" si="10"/>
        <v>17846.212379731383</v>
      </c>
      <c r="AD154" s="132">
        <f t="shared" si="10"/>
        <v>17846.212379731383</v>
      </c>
      <c r="AE154" s="9"/>
      <c r="AF154" s="9"/>
    </row>
    <row r="155" spans="1:32" x14ac:dyDescent="0.2">
      <c r="A155" s="75" t="s">
        <v>114</v>
      </c>
      <c r="B155" s="76" t="s">
        <v>49</v>
      </c>
      <c r="C155" s="132"/>
      <c r="D155" s="132"/>
      <c r="E155" s="132"/>
      <c r="F155" s="132">
        <f>F153-F154</f>
        <v>473879.32763950527</v>
      </c>
      <c r="G155" s="132">
        <f>G153-G154</f>
        <v>444640.5576282859</v>
      </c>
      <c r="H155" s="132">
        <f t="shared" ref="H155:AD155" si="11">H153-H154</f>
        <v>415401.78761706653</v>
      </c>
      <c r="I155" s="132">
        <f t="shared" si="11"/>
        <v>386163.01760584716</v>
      </c>
      <c r="J155" s="132">
        <f t="shared" si="11"/>
        <v>356924.24759462778</v>
      </c>
      <c r="K155" s="132">
        <f t="shared" si="11"/>
        <v>339078.03521489643</v>
      </c>
      <c r="L155" s="132">
        <f t="shared" si="11"/>
        <v>321231.82283516508</v>
      </c>
      <c r="M155" s="132">
        <f t="shared" si="11"/>
        <v>303385.61045543372</v>
      </c>
      <c r="N155" s="132">
        <f t="shared" si="11"/>
        <v>285539.39807570237</v>
      </c>
      <c r="O155" s="132">
        <f t="shared" si="11"/>
        <v>267693.18569597101</v>
      </c>
      <c r="P155" s="132">
        <f t="shared" si="11"/>
        <v>249846.97331623963</v>
      </c>
      <c r="Q155" s="132">
        <f t="shared" si="11"/>
        <v>232000.76093650825</v>
      </c>
      <c r="R155" s="132">
        <f t="shared" si="11"/>
        <v>214154.54855677686</v>
      </c>
      <c r="S155" s="132">
        <f t="shared" si="11"/>
        <v>196308.33617704548</v>
      </c>
      <c r="T155" s="132">
        <f t="shared" si="11"/>
        <v>178462.1237973141</v>
      </c>
      <c r="U155" s="132">
        <f t="shared" si="11"/>
        <v>160615.91141758271</v>
      </c>
      <c r="V155" s="132">
        <f t="shared" si="11"/>
        <v>142769.69903785133</v>
      </c>
      <c r="W155" s="132">
        <f t="shared" si="11"/>
        <v>124923.48665811995</v>
      </c>
      <c r="X155" s="132">
        <f t="shared" si="11"/>
        <v>107077.27427838856</v>
      </c>
      <c r="Y155" s="132">
        <f t="shared" si="11"/>
        <v>89231.061898657179</v>
      </c>
      <c r="Z155" s="132">
        <f t="shared" si="11"/>
        <v>71384.849518925796</v>
      </c>
      <c r="AA155" s="132">
        <f t="shared" si="11"/>
        <v>53538.637139194412</v>
      </c>
      <c r="AB155" s="132">
        <f t="shared" si="11"/>
        <v>35692.424759463029</v>
      </c>
      <c r="AC155" s="132">
        <f t="shared" si="11"/>
        <v>17846.212379731645</v>
      </c>
      <c r="AD155" s="132">
        <f t="shared" si="11"/>
        <v>2.6193447411060333E-10</v>
      </c>
      <c r="AE155" s="9"/>
      <c r="AF155" s="9"/>
    </row>
    <row r="156" spans="1:32" x14ac:dyDescent="0.2">
      <c r="A156" s="75" t="s">
        <v>126</v>
      </c>
      <c r="B156" s="76" t="s">
        <v>49</v>
      </c>
      <c r="C156" s="132"/>
      <c r="D156" s="132"/>
      <c r="E156" s="132"/>
      <c r="F156" s="132">
        <f>ROUND(F155,0)</f>
        <v>473879</v>
      </c>
      <c r="G156" s="132">
        <f>ROUND(G155,0)</f>
        <v>444641</v>
      </c>
      <c r="H156" s="132">
        <f t="shared" ref="H156:AC156" si="12">ROUND(H155,0)</f>
        <v>415402</v>
      </c>
      <c r="I156" s="132">
        <f t="shared" si="12"/>
        <v>386163</v>
      </c>
      <c r="J156" s="132">
        <f t="shared" si="12"/>
        <v>356924</v>
      </c>
      <c r="K156" s="132">
        <f t="shared" si="12"/>
        <v>339078</v>
      </c>
      <c r="L156" s="132">
        <f t="shared" si="12"/>
        <v>321232</v>
      </c>
      <c r="M156" s="132">
        <f t="shared" si="12"/>
        <v>303386</v>
      </c>
      <c r="N156" s="132">
        <f t="shared" si="12"/>
        <v>285539</v>
      </c>
      <c r="O156" s="132">
        <f t="shared" si="12"/>
        <v>267693</v>
      </c>
      <c r="P156" s="132">
        <f t="shared" si="12"/>
        <v>249847</v>
      </c>
      <c r="Q156" s="132">
        <f t="shared" si="12"/>
        <v>232001</v>
      </c>
      <c r="R156" s="132">
        <f t="shared" si="12"/>
        <v>214155</v>
      </c>
      <c r="S156" s="132">
        <f t="shared" si="12"/>
        <v>196308</v>
      </c>
      <c r="T156" s="132">
        <f t="shared" si="12"/>
        <v>178462</v>
      </c>
      <c r="U156" s="132">
        <f t="shared" si="12"/>
        <v>160616</v>
      </c>
      <c r="V156" s="132">
        <f t="shared" si="12"/>
        <v>142770</v>
      </c>
      <c r="W156" s="132">
        <f t="shared" si="12"/>
        <v>124923</v>
      </c>
      <c r="X156" s="132">
        <f t="shared" si="12"/>
        <v>107077</v>
      </c>
      <c r="Y156" s="132">
        <f t="shared" si="12"/>
        <v>89231</v>
      </c>
      <c r="Z156" s="132">
        <f t="shared" si="12"/>
        <v>71385</v>
      </c>
      <c r="AA156" s="132">
        <f t="shared" si="12"/>
        <v>53539</v>
      </c>
      <c r="AB156" s="132">
        <f t="shared" si="12"/>
        <v>35692</v>
      </c>
      <c r="AC156" s="132">
        <f t="shared" si="12"/>
        <v>17846</v>
      </c>
      <c r="AD156" s="132">
        <f>ROUND(AD155,0)</f>
        <v>0</v>
      </c>
      <c r="AE156" s="9"/>
      <c r="AF156" s="9"/>
    </row>
    <row r="157" spans="1:32" x14ac:dyDescent="0.2">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row>
    <row r="158" spans="1:32" x14ac:dyDescent="0.2">
      <c r="A158" s="77" t="s">
        <v>115</v>
      </c>
      <c r="B158" s="1"/>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row>
    <row r="159" spans="1:32" x14ac:dyDescent="0.2">
      <c r="A159" s="78" t="s">
        <v>116</v>
      </c>
      <c r="B159" s="80" t="s">
        <v>45</v>
      </c>
      <c r="C159" s="81">
        <f>$C$98</f>
        <v>19048</v>
      </c>
      <c r="D159" s="81">
        <f>$C$98</f>
        <v>19048</v>
      </c>
      <c r="E159" s="81">
        <f t="shared" ref="E159:AF159" si="13">$C$98</f>
        <v>19048</v>
      </c>
      <c r="F159" s="81">
        <f t="shared" si="13"/>
        <v>19048</v>
      </c>
      <c r="G159" s="81">
        <f t="shared" si="13"/>
        <v>19048</v>
      </c>
      <c r="H159" s="81">
        <f t="shared" si="13"/>
        <v>19048</v>
      </c>
      <c r="I159" s="81">
        <f t="shared" si="13"/>
        <v>19048</v>
      </c>
      <c r="J159" s="81">
        <f t="shared" si="13"/>
        <v>19048</v>
      </c>
      <c r="K159" s="81">
        <f t="shared" si="13"/>
        <v>19048</v>
      </c>
      <c r="L159" s="81">
        <f t="shared" si="13"/>
        <v>19048</v>
      </c>
      <c r="M159" s="81">
        <f t="shared" si="13"/>
        <v>19048</v>
      </c>
      <c r="N159" s="81">
        <f t="shared" si="13"/>
        <v>19048</v>
      </c>
      <c r="O159" s="81">
        <f t="shared" si="13"/>
        <v>19048</v>
      </c>
      <c r="P159" s="81">
        <f t="shared" si="13"/>
        <v>19048</v>
      </c>
      <c r="Q159" s="81">
        <f t="shared" si="13"/>
        <v>19048</v>
      </c>
      <c r="R159" s="81">
        <f t="shared" si="13"/>
        <v>19048</v>
      </c>
      <c r="S159" s="81">
        <f t="shared" si="13"/>
        <v>19048</v>
      </c>
      <c r="T159" s="81">
        <f t="shared" si="13"/>
        <v>19048</v>
      </c>
      <c r="U159" s="81">
        <f t="shared" si="13"/>
        <v>19048</v>
      </c>
      <c r="V159" s="81">
        <f t="shared" si="13"/>
        <v>19048</v>
      </c>
      <c r="W159" s="81">
        <f t="shared" si="13"/>
        <v>19048</v>
      </c>
      <c r="X159" s="81">
        <f t="shared" si="13"/>
        <v>19048</v>
      </c>
      <c r="Y159" s="81">
        <f t="shared" si="13"/>
        <v>19048</v>
      </c>
      <c r="Z159" s="81">
        <f t="shared" si="13"/>
        <v>19048</v>
      </c>
      <c r="AA159" s="81">
        <f t="shared" si="13"/>
        <v>19048</v>
      </c>
      <c r="AB159" s="81">
        <f t="shared" si="13"/>
        <v>19048</v>
      </c>
      <c r="AC159" s="81">
        <f t="shared" si="13"/>
        <v>19048</v>
      </c>
      <c r="AD159" s="81">
        <f t="shared" si="13"/>
        <v>19048</v>
      </c>
      <c r="AE159" s="81">
        <f t="shared" si="13"/>
        <v>19048</v>
      </c>
      <c r="AF159" s="81">
        <f t="shared" si="13"/>
        <v>19048</v>
      </c>
    </row>
    <row r="160" spans="1:32" x14ac:dyDescent="0.2">
      <c r="A160" s="78" t="s">
        <v>117</v>
      </c>
      <c r="B160" s="80" t="s">
        <v>48</v>
      </c>
      <c r="C160" s="81">
        <f>$C$74/(1+$C$87)*C93</f>
        <v>0.65454545454545443</v>
      </c>
      <c r="D160" s="81">
        <f>$C$74/(1+$C$87)*D93</f>
        <v>0.70690909090909082</v>
      </c>
      <c r="E160" s="81">
        <f t="shared" ref="E160:AF160" si="14">$C$74/(1+$C$87)*E93</f>
        <v>0.76346181818181813</v>
      </c>
      <c r="F160" s="81">
        <f t="shared" si="14"/>
        <v>0.82453876363636358</v>
      </c>
      <c r="G160" s="81">
        <f t="shared" si="14"/>
        <v>0.89050186472727277</v>
      </c>
      <c r="H160" s="81">
        <f t="shared" si="14"/>
        <v>0.96174201390545455</v>
      </c>
      <c r="I160" s="81">
        <f t="shared" si="14"/>
        <v>1.0386813750178912</v>
      </c>
      <c r="J160" s="81">
        <f t="shared" si="14"/>
        <v>1.1217758850193225</v>
      </c>
      <c r="K160" s="81">
        <f t="shared" si="14"/>
        <v>1.2115179558208684</v>
      </c>
      <c r="L160" s="81">
        <f t="shared" si="14"/>
        <v>1.3084393922865378</v>
      </c>
      <c r="M160" s="81">
        <f t="shared" si="14"/>
        <v>1.4131145436694612</v>
      </c>
      <c r="N160" s="81">
        <f t="shared" si="14"/>
        <v>1.5261637071630181</v>
      </c>
      <c r="O160" s="81">
        <f t="shared" si="14"/>
        <v>1.6482568037360594</v>
      </c>
      <c r="P160" s="81">
        <f t="shared" si="14"/>
        <v>1.7801173480349446</v>
      </c>
      <c r="Q160" s="81">
        <f t="shared" si="14"/>
        <v>1.92252673587774</v>
      </c>
      <c r="R160" s="81">
        <f t="shared" si="14"/>
        <v>2.0763288747479596</v>
      </c>
      <c r="S160" s="81">
        <f t="shared" si="14"/>
        <v>2.2424351847277966</v>
      </c>
      <c r="T160" s="81">
        <f t="shared" si="14"/>
        <v>2.42182999950602</v>
      </c>
      <c r="U160" s="81">
        <f t="shared" si="14"/>
        <v>2.615576399466502</v>
      </c>
      <c r="V160" s="81">
        <f t="shared" si="14"/>
        <v>2.8248225114238226</v>
      </c>
      <c r="W160" s="81">
        <f t="shared" si="14"/>
        <v>3.0508083123377285</v>
      </c>
      <c r="X160" s="81">
        <f t="shared" si="14"/>
        <v>3.2948729773247467</v>
      </c>
      <c r="Y160" s="81">
        <f t="shared" si="14"/>
        <v>3.558462815510727</v>
      </c>
      <c r="Z160" s="81">
        <f t="shared" si="14"/>
        <v>3.8431398407515855</v>
      </c>
      <c r="AA160" s="81">
        <f t="shared" si="14"/>
        <v>4.1505910280117133</v>
      </c>
      <c r="AB160" s="81">
        <f t="shared" si="14"/>
        <v>4.4826383102526508</v>
      </c>
      <c r="AC160" s="81">
        <f t="shared" si="14"/>
        <v>4.8412493750728629</v>
      </c>
      <c r="AD160" s="81">
        <f t="shared" si="14"/>
        <v>5.228549325078693</v>
      </c>
      <c r="AE160" s="81">
        <f t="shared" si="14"/>
        <v>5.6468332710849882</v>
      </c>
      <c r="AF160" s="81">
        <f t="shared" si="14"/>
        <v>6.0985799327717878</v>
      </c>
    </row>
    <row r="161" spans="1:32" x14ac:dyDescent="0.2">
      <c r="A161" s="78" t="s">
        <v>174</v>
      </c>
      <c r="B161" s="80" t="s">
        <v>175</v>
      </c>
      <c r="C161" s="81">
        <f>(C160*10^6)/C95</f>
        <v>25.683557172668412</v>
      </c>
      <c r="D161" s="81">
        <f t="shared" ref="D161:AF161" si="15">(D160*10^6)/D95</f>
        <v>26.454063887848463</v>
      </c>
      <c r="E161" s="81">
        <f t="shared" si="15"/>
        <v>27.247685804483915</v>
      </c>
      <c r="F161" s="81">
        <f t="shared" si="15"/>
        <v>28.065116378618431</v>
      </c>
      <c r="G161" s="81">
        <f t="shared" si="15"/>
        <v>28.90706986997699</v>
      </c>
      <c r="H161" s="81">
        <f t="shared" si="15"/>
        <v>29.774281966076295</v>
      </c>
      <c r="I161" s="81">
        <f t="shared" si="15"/>
        <v>30.667510425058591</v>
      </c>
      <c r="J161" s="81">
        <f t="shared" si="15"/>
        <v>31.587535737810349</v>
      </c>
      <c r="K161" s="81">
        <f t="shared" si="15"/>
        <v>32.535161809944668</v>
      </c>
      <c r="L161" s="81">
        <f t="shared" si="15"/>
        <v>33.511216664243001</v>
      </c>
      <c r="M161" s="81">
        <f t="shared" si="15"/>
        <v>34.516553164170297</v>
      </c>
      <c r="N161" s="81">
        <f t="shared" si="15"/>
        <v>35.552049759095404</v>
      </c>
      <c r="O161" s="81">
        <f t="shared" si="15"/>
        <v>36.618611251868266</v>
      </c>
      <c r="P161" s="81">
        <f t="shared" si="15"/>
        <v>37.717169589424316</v>
      </c>
      <c r="Q161" s="81">
        <f t="shared" si="15"/>
        <v>38.848684677107045</v>
      </c>
      <c r="R161" s="81">
        <f t="shared" si="15"/>
        <v>40.014145217420264</v>
      </c>
      <c r="S161" s="81">
        <f t="shared" si="15"/>
        <v>41.21456957394286</v>
      </c>
      <c r="T161" s="81">
        <f t="shared" si="15"/>
        <v>42.451006661161152</v>
      </c>
      <c r="U161" s="81">
        <f t="shared" si="15"/>
        <v>43.72453686099599</v>
      </c>
      <c r="V161" s="81">
        <f t="shared" si="15"/>
        <v>45.036272966825877</v>
      </c>
      <c r="W161" s="81">
        <f t="shared" si="15"/>
        <v>46.387361155830654</v>
      </c>
      <c r="X161" s="81">
        <f t="shared" si="15"/>
        <v>47.778981990505571</v>
      </c>
      <c r="Y161" s="81">
        <f t="shared" si="15"/>
        <v>49.212351450220751</v>
      </c>
      <c r="Z161" s="81">
        <f t="shared" si="15"/>
        <v>50.68872199372737</v>
      </c>
      <c r="AA161" s="81">
        <f t="shared" si="15"/>
        <v>52.209383653539199</v>
      </c>
      <c r="AB161" s="81">
        <f t="shared" si="15"/>
        <v>53.775665163145369</v>
      </c>
      <c r="AC161" s="81">
        <f t="shared" si="15"/>
        <v>55.388935118039733</v>
      </c>
      <c r="AD161" s="81">
        <f t="shared" si="15"/>
        <v>57.050603171580931</v>
      </c>
      <c r="AE161" s="81">
        <f t="shared" si="15"/>
        <v>58.76212126672835</v>
      </c>
      <c r="AF161" s="81">
        <f t="shared" si="15"/>
        <v>60.524984904730218</v>
      </c>
    </row>
    <row r="162" spans="1:32" x14ac:dyDescent="0.2">
      <c r="A162" s="78" t="s">
        <v>118</v>
      </c>
      <c r="B162" s="80" t="s">
        <v>49</v>
      </c>
      <c r="C162" s="81">
        <f>C159*C160*12</f>
        <v>149613.38181818181</v>
      </c>
      <c r="D162" s="81">
        <f>D159*D160*12</f>
        <v>161582.45236363634</v>
      </c>
      <c r="E162" s="81">
        <f>E159*E160*12</f>
        <v>174509.04855272727</v>
      </c>
      <c r="F162" s="81">
        <f>F159*F160*12</f>
        <v>188469.77243694547</v>
      </c>
      <c r="G162" s="81">
        <f>G159*G160*12</f>
        <v>203547.35423190112</v>
      </c>
      <c r="H162" s="81">
        <f>H159*H160*12</f>
        <v>219831.14257045317</v>
      </c>
      <c r="I162" s="81">
        <f>I159*I160*12</f>
        <v>237417.63397608951</v>
      </c>
      <c r="J162" s="81">
        <f>J159*J160*12</f>
        <v>256411.04469417664</v>
      </c>
      <c r="K162" s="81">
        <f>K159*K160*12</f>
        <v>276923.9282697108</v>
      </c>
      <c r="L162" s="81">
        <f>L159*L160*12</f>
        <v>299077.84253128769</v>
      </c>
      <c r="M162" s="81">
        <f>M159*M160*12</f>
        <v>323004.06993379077</v>
      </c>
      <c r="N162" s="81">
        <f>N159*N160*12</f>
        <v>348844.39552849403</v>
      </c>
      <c r="O162" s="81">
        <f>O159*O160*12</f>
        <v>376751.94717077352</v>
      </c>
      <c r="P162" s="81">
        <f>P159*P160*12</f>
        <v>406892.10294443549</v>
      </c>
      <c r="Q162" s="81">
        <f>Q159*Q160*12</f>
        <v>439443.47117999033</v>
      </c>
      <c r="R162" s="81">
        <f>R159*R160*12</f>
        <v>474598.94887438958</v>
      </c>
      <c r="S162" s="81">
        <f>S159*S160*12</f>
        <v>512566.86478434084</v>
      </c>
      <c r="T162" s="81">
        <f>T159*T160*12</f>
        <v>553572.21396708803</v>
      </c>
      <c r="U162" s="81">
        <f>U159*U160*12</f>
        <v>597857.99108445516</v>
      </c>
      <c r="V162" s="81">
        <f>V159*V160*12</f>
        <v>645686.63037121168</v>
      </c>
      <c r="W162" s="81">
        <f>W159*W160*12</f>
        <v>697341.5608009086</v>
      </c>
      <c r="X162" s="81">
        <f>X159*X160*12</f>
        <v>753128.88566498132</v>
      </c>
      <c r="Y162" s="81">
        <f>Y159*Y160*12</f>
        <v>813379.19651817984</v>
      </c>
      <c r="Z162" s="81">
        <f>Z159*Z160*12</f>
        <v>878449.53223963443</v>
      </c>
      <c r="AA162" s="81">
        <f>AA159*AA160*12</f>
        <v>948725.49481880548</v>
      </c>
      <c r="AB162" s="81">
        <f>AB159*AB160*12</f>
        <v>1024623.5344043099</v>
      </c>
      <c r="AC162" s="81">
        <f>AC159*AC160*12</f>
        <v>1106593.4171566546</v>
      </c>
      <c r="AD162" s="81">
        <f>AD159*AD160*12</f>
        <v>1195120.8905291874</v>
      </c>
      <c r="AE162" s="81">
        <f>AE159*AE160*12</f>
        <v>1290730.5617715223</v>
      </c>
      <c r="AF162" s="81">
        <f>AF159*AF160*12</f>
        <v>1393989.0067132441</v>
      </c>
    </row>
    <row r="163" spans="1:32" x14ac:dyDescent="0.2">
      <c r="A163" s="78" t="s">
        <v>119</v>
      </c>
      <c r="B163" s="80" t="s">
        <v>49</v>
      </c>
      <c r="C163" s="81">
        <f>C162*C76</f>
        <v>0</v>
      </c>
      <c r="D163" s="81">
        <f>D162*D76</f>
        <v>0</v>
      </c>
      <c r="E163" s="81">
        <f>E162*E76</f>
        <v>0</v>
      </c>
      <c r="F163" s="81">
        <f>F162*F76</f>
        <v>94234.886218472733</v>
      </c>
      <c r="G163" s="81">
        <f>G162*G76</f>
        <v>81418.941692760447</v>
      </c>
      <c r="H163" s="81">
        <f>H162*H76</f>
        <v>65949.342771135955</v>
      </c>
      <c r="I163" s="81">
        <f>I162*I76</f>
        <v>47483.526795217913</v>
      </c>
      <c r="J163" s="81">
        <f>J162*J76</f>
        <v>51282.208938835334</v>
      </c>
      <c r="K163" s="81">
        <f>K162*K76</f>
        <v>55384.785653942163</v>
      </c>
      <c r="L163" s="81">
        <f>L162*L76</f>
        <v>59815.568506257543</v>
      </c>
      <c r="M163" s="81">
        <f>M162*M76</f>
        <v>64600.813986758156</v>
      </c>
      <c r="N163" s="81">
        <f>N162*N76</f>
        <v>69768.879105698812</v>
      </c>
      <c r="O163" s="81">
        <f>O162*O76</f>
        <v>75350.389434154713</v>
      </c>
      <c r="P163" s="81">
        <f>P162*P76</f>
        <v>81378.420588887107</v>
      </c>
      <c r="Q163" s="81">
        <f>Q162*Q76</f>
        <v>87888.694235998075</v>
      </c>
      <c r="R163" s="81">
        <f>R162*R76</f>
        <v>94919.789774877921</v>
      </c>
      <c r="S163" s="81">
        <f>S162*S76</f>
        <v>102513.37295686817</v>
      </c>
      <c r="T163" s="81">
        <f>T162*T76</f>
        <v>110714.44279341761</v>
      </c>
      <c r="U163" s="81">
        <f>U162*U76</f>
        <v>119571.59821689104</v>
      </c>
      <c r="V163" s="81">
        <f>V162*V76</f>
        <v>129137.32607424234</v>
      </c>
      <c r="W163" s="81">
        <f>W162*W76</f>
        <v>139468.31216018173</v>
      </c>
      <c r="X163" s="81">
        <f>X162*X76</f>
        <v>150625.77713299627</v>
      </c>
      <c r="Y163" s="81">
        <f>Y162*Y76</f>
        <v>162675.83930363599</v>
      </c>
      <c r="Z163" s="81">
        <f>Z162*Z76</f>
        <v>175689.90644792689</v>
      </c>
      <c r="AA163" s="81">
        <f>AA162*AA76</f>
        <v>189745.09896376112</v>
      </c>
      <c r="AB163" s="81">
        <f>AB162*AB76</f>
        <v>204924.70688086201</v>
      </c>
      <c r="AC163" s="81">
        <f>AC162*AC76</f>
        <v>221318.68343133095</v>
      </c>
      <c r="AD163" s="81">
        <f>AD162*AD76</f>
        <v>239024.17810583749</v>
      </c>
      <c r="AE163" s="81">
        <f>AE162*AE76</f>
        <v>258146.11235430447</v>
      </c>
      <c r="AF163" s="81">
        <f>AF162*AF76</f>
        <v>278797.80134264886</v>
      </c>
    </row>
    <row r="164" spans="1:32" x14ac:dyDescent="0.2">
      <c r="A164" s="79" t="s">
        <v>120</v>
      </c>
      <c r="B164" s="82" t="s">
        <v>49</v>
      </c>
      <c r="C164" s="81"/>
      <c r="D164" s="81"/>
      <c r="E164" s="81"/>
      <c r="F164" s="81">
        <f t="shared" ref="F164:AF164" si="16">F162-F163</f>
        <v>94234.886218472733</v>
      </c>
      <c r="G164" s="81">
        <f>G162-G163</f>
        <v>122128.41253914067</v>
      </c>
      <c r="H164" s="81">
        <f t="shared" si="16"/>
        <v>153881.7997993172</v>
      </c>
      <c r="I164" s="81">
        <f t="shared" si="16"/>
        <v>189934.10718087159</v>
      </c>
      <c r="J164" s="81">
        <f t="shared" si="16"/>
        <v>205128.83575534131</v>
      </c>
      <c r="K164" s="81">
        <f t="shared" si="16"/>
        <v>221539.14261576865</v>
      </c>
      <c r="L164" s="81">
        <f t="shared" si="16"/>
        <v>239262.27402503014</v>
      </c>
      <c r="M164" s="81">
        <f t="shared" si="16"/>
        <v>258403.25594703262</v>
      </c>
      <c r="N164" s="81">
        <f t="shared" si="16"/>
        <v>279075.51642279525</v>
      </c>
      <c r="O164" s="81">
        <f t="shared" si="16"/>
        <v>301401.55773661879</v>
      </c>
      <c r="P164" s="81">
        <f t="shared" si="16"/>
        <v>325513.68235554837</v>
      </c>
      <c r="Q164" s="81">
        <f t="shared" si="16"/>
        <v>351554.77694399224</v>
      </c>
      <c r="R164" s="81">
        <f t="shared" si="16"/>
        <v>379679.15909951169</v>
      </c>
      <c r="S164" s="81">
        <f t="shared" si="16"/>
        <v>410053.4918274727</v>
      </c>
      <c r="T164" s="81">
        <f t="shared" si="16"/>
        <v>442857.77117367042</v>
      </c>
      <c r="U164" s="81">
        <f t="shared" si="16"/>
        <v>478286.39286756411</v>
      </c>
      <c r="V164" s="81">
        <f t="shared" si="16"/>
        <v>516549.30429696932</v>
      </c>
      <c r="W164" s="81">
        <f t="shared" si="16"/>
        <v>557873.2486407269</v>
      </c>
      <c r="X164" s="81">
        <f t="shared" si="16"/>
        <v>602503.10853198508</v>
      </c>
      <c r="Y164" s="81">
        <f t="shared" si="16"/>
        <v>650703.35721454385</v>
      </c>
      <c r="Z164" s="81">
        <f t="shared" si="16"/>
        <v>702759.62579170754</v>
      </c>
      <c r="AA164" s="81">
        <f t="shared" si="16"/>
        <v>758980.39585504436</v>
      </c>
      <c r="AB164" s="81">
        <f t="shared" si="16"/>
        <v>819698.82752344792</v>
      </c>
      <c r="AC164" s="81">
        <f t="shared" si="16"/>
        <v>885274.73372532369</v>
      </c>
      <c r="AD164" s="81">
        <f t="shared" si="16"/>
        <v>956096.71242334996</v>
      </c>
      <c r="AE164" s="81">
        <f t="shared" si="16"/>
        <v>1032584.4494172179</v>
      </c>
      <c r="AF164" s="81">
        <f t="shared" si="16"/>
        <v>1115191.2053705952</v>
      </c>
    </row>
    <row r="165" spans="1:32" x14ac:dyDescent="0.2">
      <c r="A165" s="1"/>
      <c r="B165" s="1"/>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row>
    <row r="166" spans="1:32" x14ac:dyDescent="0.2">
      <c r="A166" s="77" t="s">
        <v>121</v>
      </c>
      <c r="B166" s="1"/>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row>
    <row r="167" spans="1:32" x14ac:dyDescent="0.2">
      <c r="A167" s="78" t="s">
        <v>71</v>
      </c>
      <c r="B167" s="80" t="s">
        <v>49</v>
      </c>
      <c r="C167" s="81"/>
      <c r="D167" s="81"/>
      <c r="E167" s="81"/>
      <c r="F167" s="81">
        <f>F164*$C$79</f>
        <v>14135.23293277091</v>
      </c>
      <c r="G167" s="81">
        <f>G164*$C$79</f>
        <v>18319.261880871101</v>
      </c>
      <c r="H167" s="81">
        <f t="shared" ref="H167:AF167" si="17">H164*$C$79</f>
        <v>23082.269969897581</v>
      </c>
      <c r="I167" s="81">
        <f t="shared" si="17"/>
        <v>28490.116077130737</v>
      </c>
      <c r="J167" s="81">
        <f t="shared" si="17"/>
        <v>30769.325363301195</v>
      </c>
      <c r="K167" s="81">
        <f t="shared" si="17"/>
        <v>33230.871392365298</v>
      </c>
      <c r="L167" s="81">
        <f t="shared" si="17"/>
        <v>35889.341103754523</v>
      </c>
      <c r="M167" s="81">
        <f t="shared" si="17"/>
        <v>38760.488392054889</v>
      </c>
      <c r="N167" s="81">
        <f t="shared" si="17"/>
        <v>41861.327463419286</v>
      </c>
      <c r="O167" s="81">
        <f t="shared" si="17"/>
        <v>45210.23366049282</v>
      </c>
      <c r="P167" s="81">
        <f t="shared" si="17"/>
        <v>48827.052353332256</v>
      </c>
      <c r="Q167" s="81">
        <f t="shared" si="17"/>
        <v>52733.216541598835</v>
      </c>
      <c r="R167" s="81">
        <f t="shared" si="17"/>
        <v>56951.873864926754</v>
      </c>
      <c r="S167" s="81">
        <f t="shared" si="17"/>
        <v>61508.023774120898</v>
      </c>
      <c r="T167" s="81">
        <f t="shared" si="17"/>
        <v>66428.665676050558</v>
      </c>
      <c r="U167" s="81">
        <f t="shared" si="17"/>
        <v>71742.958930134613</v>
      </c>
      <c r="V167" s="81">
        <f t="shared" si="17"/>
        <v>77482.395644545395</v>
      </c>
      <c r="W167" s="81">
        <f t="shared" si="17"/>
        <v>83680.98729610903</v>
      </c>
      <c r="X167" s="81">
        <f t="shared" si="17"/>
        <v>90375.466279797765</v>
      </c>
      <c r="Y167" s="81">
        <f t="shared" si="17"/>
        <v>97605.503582181569</v>
      </c>
      <c r="Z167" s="81">
        <f t="shared" si="17"/>
        <v>105413.94386875613</v>
      </c>
      <c r="AA167" s="81">
        <f t="shared" si="17"/>
        <v>113847.05937825666</v>
      </c>
      <c r="AB167" s="81">
        <f t="shared" si="17"/>
        <v>122954.82412851718</v>
      </c>
      <c r="AC167" s="81">
        <f t="shared" si="17"/>
        <v>132791.21005879855</v>
      </c>
      <c r="AD167" s="81">
        <f t="shared" si="17"/>
        <v>143414.50686350249</v>
      </c>
      <c r="AE167" s="81">
        <f t="shared" si="17"/>
        <v>154887.66741258267</v>
      </c>
      <c r="AF167" s="81">
        <f t="shared" si="17"/>
        <v>167278.68080558928</v>
      </c>
    </row>
    <row r="168" spans="1:32" x14ac:dyDescent="0.2">
      <c r="A168" s="78" t="s">
        <v>122</v>
      </c>
      <c r="B168" s="80" t="s">
        <v>49</v>
      </c>
      <c r="C168" s="81"/>
      <c r="D168" s="81"/>
      <c r="E168" s="81"/>
      <c r="F168" s="81">
        <f>F164*$C$80</f>
        <v>4711.7443109236365</v>
      </c>
      <c r="G168" s="81">
        <f>G164*$C$80</f>
        <v>6106.4206269570341</v>
      </c>
      <c r="H168" s="81">
        <f t="shared" ref="H168:AF168" si="18">H164*$C$80</f>
        <v>7694.0899899658607</v>
      </c>
      <c r="I168" s="81">
        <f t="shared" si="18"/>
        <v>9496.7053590435808</v>
      </c>
      <c r="J168" s="81">
        <f t="shared" si="18"/>
        <v>10256.441787767066</v>
      </c>
      <c r="K168" s="81">
        <f t="shared" si="18"/>
        <v>11076.957130788433</v>
      </c>
      <c r="L168" s="81">
        <f t="shared" si="18"/>
        <v>11963.113701251508</v>
      </c>
      <c r="M168" s="81">
        <f t="shared" si="18"/>
        <v>12920.162797351632</v>
      </c>
      <c r="N168" s="81">
        <f t="shared" si="18"/>
        <v>13953.775821139763</v>
      </c>
      <c r="O168" s="81">
        <f t="shared" si="18"/>
        <v>15070.077886830941</v>
      </c>
      <c r="P168" s="81">
        <f t="shared" si="18"/>
        <v>16275.684117777419</v>
      </c>
      <c r="Q168" s="81">
        <f t="shared" si="18"/>
        <v>17577.738847199613</v>
      </c>
      <c r="R168" s="81">
        <f t="shared" si="18"/>
        <v>18983.957954975584</v>
      </c>
      <c r="S168" s="81">
        <f t="shared" si="18"/>
        <v>20502.674591373638</v>
      </c>
      <c r="T168" s="81">
        <f t="shared" si="18"/>
        <v>22142.888558683524</v>
      </c>
      <c r="U168" s="81">
        <f t="shared" si="18"/>
        <v>23914.319643378207</v>
      </c>
      <c r="V168" s="81">
        <f t="shared" si="18"/>
        <v>25827.465214848467</v>
      </c>
      <c r="W168" s="81">
        <f t="shared" si="18"/>
        <v>27893.662432036348</v>
      </c>
      <c r="X168" s="81">
        <f t="shared" si="18"/>
        <v>30125.155426599256</v>
      </c>
      <c r="Y168" s="81">
        <f t="shared" si="18"/>
        <v>32535.167860727193</v>
      </c>
      <c r="Z168" s="81">
        <f t="shared" si="18"/>
        <v>35137.981289585376</v>
      </c>
      <c r="AA168" s="81">
        <f t="shared" si="18"/>
        <v>37949.019792752217</v>
      </c>
      <c r="AB168" s="81">
        <f t="shared" si="18"/>
        <v>40984.941376172399</v>
      </c>
      <c r="AC168" s="81">
        <f t="shared" si="18"/>
        <v>44263.736686266187</v>
      </c>
      <c r="AD168" s="81">
        <f t="shared" si="18"/>
        <v>47804.835621167498</v>
      </c>
      <c r="AE168" s="81">
        <f t="shared" si="18"/>
        <v>51629.222470860899</v>
      </c>
      <c r="AF168" s="81">
        <f t="shared" si="18"/>
        <v>55759.560268529764</v>
      </c>
    </row>
    <row r="169" spans="1:32" x14ac:dyDescent="0.2">
      <c r="A169" s="78" t="s">
        <v>123</v>
      </c>
      <c r="B169" s="80" t="s">
        <v>49</v>
      </c>
      <c r="C169" s="81"/>
      <c r="D169" s="81"/>
      <c r="E169" s="81"/>
      <c r="F169" s="81">
        <f>SUM($C$126:$E$129)/3</f>
        <v>16283.98228322765</v>
      </c>
      <c r="G169" s="81">
        <f t="shared" ref="G169:H169" si="19">SUM($C$126:$E$129)/3</f>
        <v>16283.98228322765</v>
      </c>
      <c r="H169" s="81">
        <f t="shared" si="19"/>
        <v>16283.98228322765</v>
      </c>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row>
    <row r="170" spans="1:32" s="5" customFormat="1" x14ac:dyDescent="0.2">
      <c r="A170" s="79" t="s">
        <v>151</v>
      </c>
      <c r="B170" s="82" t="s">
        <v>49</v>
      </c>
      <c r="C170" s="133"/>
      <c r="D170" s="133"/>
      <c r="E170" s="133"/>
      <c r="F170" s="133">
        <f>SUM(F167:F169)</f>
        <v>35130.959526922197</v>
      </c>
      <c r="G170" s="133">
        <f t="shared" ref="G170:AF170" si="20">SUM(G167:G169)</f>
        <v>40709.664791055788</v>
      </c>
      <c r="H170" s="133">
        <f t="shared" si="20"/>
        <v>47060.342243091094</v>
      </c>
      <c r="I170" s="133">
        <f t="shared" si="20"/>
        <v>37986.821436174316</v>
      </c>
      <c r="J170" s="133">
        <f t="shared" si="20"/>
        <v>41025.767151068263</v>
      </c>
      <c r="K170" s="133">
        <f t="shared" si="20"/>
        <v>44307.82852315373</v>
      </c>
      <c r="L170" s="133">
        <f t="shared" si="20"/>
        <v>47852.454805006033</v>
      </c>
      <c r="M170" s="133">
        <f t="shared" si="20"/>
        <v>51680.651189406519</v>
      </c>
      <c r="N170" s="133">
        <f t="shared" si="20"/>
        <v>55815.103284559053</v>
      </c>
      <c r="O170" s="133">
        <f t="shared" si="20"/>
        <v>60280.311547323763</v>
      </c>
      <c r="P170" s="133">
        <f t="shared" si="20"/>
        <v>65102.736471109674</v>
      </c>
      <c r="Q170" s="133">
        <f t="shared" si="20"/>
        <v>70310.955388798451</v>
      </c>
      <c r="R170" s="133">
        <f t="shared" si="20"/>
        <v>75935.831819902334</v>
      </c>
      <c r="S170" s="133">
        <f t="shared" si="20"/>
        <v>82010.698365494536</v>
      </c>
      <c r="T170" s="133">
        <f t="shared" si="20"/>
        <v>88571.554234734082</v>
      </c>
      <c r="U170" s="133">
        <f t="shared" si="20"/>
        <v>95657.278573512827</v>
      </c>
      <c r="V170" s="133">
        <f t="shared" si="20"/>
        <v>103309.86085939387</v>
      </c>
      <c r="W170" s="133">
        <f t="shared" si="20"/>
        <v>111574.64972814538</v>
      </c>
      <c r="X170" s="133">
        <f t="shared" si="20"/>
        <v>120500.62170639703</v>
      </c>
      <c r="Y170" s="133">
        <f t="shared" si="20"/>
        <v>130140.67144290876</v>
      </c>
      <c r="Z170" s="133">
        <f t="shared" si="20"/>
        <v>140551.9251583415</v>
      </c>
      <c r="AA170" s="133">
        <f t="shared" si="20"/>
        <v>151796.07917100887</v>
      </c>
      <c r="AB170" s="133">
        <f t="shared" si="20"/>
        <v>163939.7655046896</v>
      </c>
      <c r="AC170" s="133">
        <f t="shared" si="20"/>
        <v>177054.94674506475</v>
      </c>
      <c r="AD170" s="133">
        <f t="shared" si="20"/>
        <v>191219.34248466999</v>
      </c>
      <c r="AE170" s="133">
        <f t="shared" si="20"/>
        <v>206516.88988344357</v>
      </c>
      <c r="AF170" s="133">
        <f t="shared" si="20"/>
        <v>223038.24107411905</v>
      </c>
    </row>
    <row r="171" spans="1:32" s="5" customFormat="1" x14ac:dyDescent="0.2">
      <c r="A171" s="79" t="s">
        <v>124</v>
      </c>
      <c r="B171" s="82" t="s">
        <v>49</v>
      </c>
      <c r="C171" s="133"/>
      <c r="D171" s="133"/>
      <c r="E171" s="133"/>
      <c r="F171" s="133">
        <f>F164-F170</f>
        <v>59103.926691550536</v>
      </c>
      <c r="G171" s="133">
        <f>G164-G170</f>
        <v>81418.74774808489</v>
      </c>
      <c r="H171" s="133">
        <f>H164-H170</f>
        <v>106821.45755622612</v>
      </c>
      <c r="I171" s="133">
        <f>I164-I170</f>
        <v>151947.28574469726</v>
      </c>
      <c r="J171" s="133">
        <f>J164-J170</f>
        <v>164103.06860427305</v>
      </c>
      <c r="K171" s="133">
        <f>K164-K170</f>
        <v>177231.31409261492</v>
      </c>
      <c r="L171" s="133">
        <f>L164-L170</f>
        <v>191409.8192200241</v>
      </c>
      <c r="M171" s="133">
        <f>M164-M170</f>
        <v>206722.6047576261</v>
      </c>
      <c r="N171" s="133">
        <f>N164-N170</f>
        <v>223260.41313823621</v>
      </c>
      <c r="O171" s="133">
        <f>O164-O170</f>
        <v>241121.24618929502</v>
      </c>
      <c r="P171" s="133">
        <f>P164-P170</f>
        <v>260410.9458844387</v>
      </c>
      <c r="Q171" s="133">
        <f>Q164-Q170</f>
        <v>281243.8215551938</v>
      </c>
      <c r="R171" s="133">
        <f>R164-R170</f>
        <v>303743.32727960934</v>
      </c>
      <c r="S171" s="133">
        <f>S164-S170</f>
        <v>328042.79346197814</v>
      </c>
      <c r="T171" s="133">
        <f>T164-T170</f>
        <v>354286.21693893633</v>
      </c>
      <c r="U171" s="133">
        <f>U164-U170</f>
        <v>382629.11429405131</v>
      </c>
      <c r="V171" s="133">
        <f>V164-V170</f>
        <v>413239.44343757548</v>
      </c>
      <c r="W171" s="133">
        <f>W164-W170</f>
        <v>446298.59891258151</v>
      </c>
      <c r="X171" s="133">
        <f>X164-X170</f>
        <v>482002.48682558804</v>
      </c>
      <c r="Y171" s="133">
        <f>Y164-Y170</f>
        <v>520562.68577163509</v>
      </c>
      <c r="Z171" s="133">
        <f>Z164-Z170</f>
        <v>562207.70063336601</v>
      </c>
      <c r="AA171" s="133">
        <f>AA164-AA170</f>
        <v>607184.31668403547</v>
      </c>
      <c r="AB171" s="133">
        <f>AB164-AB170</f>
        <v>655759.06201875838</v>
      </c>
      <c r="AC171" s="133">
        <f>AC164-AC170</f>
        <v>708219.786980259</v>
      </c>
      <c r="AD171" s="133">
        <f>AD164-AD170</f>
        <v>764877.36993867997</v>
      </c>
      <c r="AE171" s="133">
        <f>AE164-AE170</f>
        <v>826067.55953377427</v>
      </c>
      <c r="AF171" s="133">
        <f>AF164-AF170</f>
        <v>892152.96429647622</v>
      </c>
    </row>
    <row r="172" spans="1:32" x14ac:dyDescent="0.2">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row>
    <row r="173" spans="1:32" x14ac:dyDescent="0.2">
      <c r="A173" s="78" t="s">
        <v>128</v>
      </c>
      <c r="B173" s="80" t="s">
        <v>49</v>
      </c>
      <c r="C173" s="81"/>
      <c r="D173" s="81"/>
      <c r="E173" s="81"/>
      <c r="F173" s="81">
        <f>$C$81*F171</f>
        <v>29551.963345775268</v>
      </c>
      <c r="G173" s="81">
        <f>$C$81*G171</f>
        <v>40709.373874042445</v>
      </c>
      <c r="H173" s="81">
        <f>$C$81*H171</f>
        <v>53410.728778113058</v>
      </c>
      <c r="I173" s="81">
        <f>$C$81*I171</f>
        <v>75973.642872348631</v>
      </c>
      <c r="J173" s="81">
        <f>$C$81*J171</f>
        <v>82051.534302136526</v>
      </c>
      <c r="K173" s="81">
        <f>$C$81*K171</f>
        <v>88615.65704630746</v>
      </c>
      <c r="L173" s="81">
        <f>$C$81*L171</f>
        <v>95704.909610012051</v>
      </c>
      <c r="M173" s="81">
        <f>$C$81*M171</f>
        <v>103361.30237881305</v>
      </c>
      <c r="N173" s="81">
        <f>$C$81*N171</f>
        <v>111630.20656911811</v>
      </c>
      <c r="O173" s="81">
        <f>$C$81*O171</f>
        <v>120560.62309464751</v>
      </c>
      <c r="P173" s="81">
        <f>$C$81*P171</f>
        <v>130205.47294221935</v>
      </c>
      <c r="Q173" s="81">
        <f>$C$81*Q171</f>
        <v>140621.9107775969</v>
      </c>
      <c r="R173" s="81">
        <f>$C$81*R171</f>
        <v>151871.66363980467</v>
      </c>
      <c r="S173" s="81">
        <f>$C$81*S171</f>
        <v>164021.39673098907</v>
      </c>
      <c r="T173" s="81">
        <f>$C$81*T171</f>
        <v>177143.10846946816</v>
      </c>
      <c r="U173" s="81">
        <f>$C$81*U171</f>
        <v>191314.55714702565</v>
      </c>
      <c r="V173" s="81">
        <f>$C$81*V171</f>
        <v>206619.72171878774</v>
      </c>
      <c r="W173" s="81">
        <f>$C$81*W171</f>
        <v>223149.29945629076</v>
      </c>
      <c r="X173" s="81">
        <f>$C$81*X171</f>
        <v>241001.24341279402</v>
      </c>
      <c r="Y173" s="81">
        <f>$C$81*Y171</f>
        <v>260281.34288581755</v>
      </c>
      <c r="Z173" s="81">
        <f>$C$81*Z171</f>
        <v>281103.85031668301</v>
      </c>
      <c r="AA173" s="81">
        <f>$C$81*AA171</f>
        <v>303592.15834201773</v>
      </c>
      <c r="AB173" s="81">
        <f>$C$81*AB171</f>
        <v>327879.53100937919</v>
      </c>
      <c r="AC173" s="81">
        <f>$C$81*AC171</f>
        <v>354109.8934901295</v>
      </c>
      <c r="AD173" s="81">
        <f>$C$81*AD171</f>
        <v>382438.68496933999</v>
      </c>
      <c r="AE173" s="81">
        <f>$C$81*AE171</f>
        <v>413033.77976688714</v>
      </c>
      <c r="AF173" s="81">
        <f>$C$81*AF171</f>
        <v>446076.48214823811</v>
      </c>
    </row>
    <row r="174" spans="1:32" x14ac:dyDescent="0.2">
      <c r="A174" s="78" t="s">
        <v>129</v>
      </c>
      <c r="B174" s="80" t="s">
        <v>49</v>
      </c>
      <c r="C174" s="81"/>
      <c r="D174" s="81"/>
      <c r="E174" s="81"/>
      <c r="F174" s="81">
        <f>$C$82*F171</f>
        <v>2955.1963345775271</v>
      </c>
      <c r="G174" s="81">
        <f>$C$82*G171</f>
        <v>4070.9373874042449</v>
      </c>
      <c r="H174" s="81">
        <f>$C$82*H171</f>
        <v>5341.0728778113062</v>
      </c>
      <c r="I174" s="81">
        <f>$C$82*I171</f>
        <v>7597.3642872348637</v>
      </c>
      <c r="J174" s="81">
        <f>$C$82*J171</f>
        <v>8205.1534302136533</v>
      </c>
      <c r="K174" s="81">
        <f>$C$82*K171</f>
        <v>8861.565704630746</v>
      </c>
      <c r="L174" s="81">
        <f>$C$82*L171</f>
        <v>9570.4909610012055</v>
      </c>
      <c r="M174" s="81">
        <f>$C$82*M171</f>
        <v>10336.130237881305</v>
      </c>
      <c r="N174" s="81">
        <f>$C$82*N171</f>
        <v>11163.020656911811</v>
      </c>
      <c r="O174" s="81">
        <f>$C$82*O171</f>
        <v>12056.062309464753</v>
      </c>
      <c r="P174" s="81">
        <f>$C$82*P171</f>
        <v>13020.547294221935</v>
      </c>
      <c r="Q174" s="81">
        <f>$C$82*Q171</f>
        <v>14062.191077759691</v>
      </c>
      <c r="R174" s="81">
        <f>$C$82*R171</f>
        <v>15187.166363980468</v>
      </c>
      <c r="S174" s="81">
        <f>$C$82*S171</f>
        <v>16402.139673098907</v>
      </c>
      <c r="T174" s="81">
        <f>$C$82*T171</f>
        <v>17714.310846946817</v>
      </c>
      <c r="U174" s="81">
        <f>$C$82*U171</f>
        <v>19131.455714702566</v>
      </c>
      <c r="V174" s="81">
        <f>$C$82*V171</f>
        <v>20661.972171878777</v>
      </c>
      <c r="W174" s="81">
        <f>$C$82*W171</f>
        <v>22314.929945629076</v>
      </c>
      <c r="X174" s="81">
        <f>$C$82*X171</f>
        <v>24100.124341279403</v>
      </c>
      <c r="Y174" s="81">
        <f>$C$82*Y171</f>
        <v>26028.134288581758</v>
      </c>
      <c r="Z174" s="81">
        <f>$C$82*Z171</f>
        <v>28110.385031668302</v>
      </c>
      <c r="AA174" s="81">
        <f>$C$82*AA171</f>
        <v>30359.215834201776</v>
      </c>
      <c r="AB174" s="81">
        <f>$C$82*AB171</f>
        <v>32787.953100937921</v>
      </c>
      <c r="AC174" s="81">
        <f>$C$82*AC171</f>
        <v>35410.989349012954</v>
      </c>
      <c r="AD174" s="81">
        <f>$C$82*AD171</f>
        <v>38243.868496934003</v>
      </c>
      <c r="AE174" s="81">
        <f>$C$82*AE171</f>
        <v>41303.377976688716</v>
      </c>
      <c r="AF174" s="81">
        <f>$C$82*AF171</f>
        <v>44607.648214823814</v>
      </c>
    </row>
    <row r="175" spans="1:32" x14ac:dyDescent="0.2">
      <c r="A175" s="78" t="s">
        <v>130</v>
      </c>
      <c r="B175" s="80" t="s">
        <v>49</v>
      </c>
      <c r="C175" s="81"/>
      <c r="D175" s="81"/>
      <c r="E175" s="81"/>
      <c r="F175" s="81">
        <f>$C$8*$C$9*F93</f>
        <v>5038.8480000000009</v>
      </c>
      <c r="G175" s="81">
        <f>$C$8*$C$9*G93</f>
        <v>5441.9558400000014</v>
      </c>
      <c r="H175" s="81">
        <f>$C$8*$C$9*H93</f>
        <v>5877.3123072000017</v>
      </c>
      <c r="I175" s="81">
        <f>$C$8*$C$9*I93</f>
        <v>6347.4972917760024</v>
      </c>
      <c r="J175" s="81">
        <f>$C$8*$C$9*J93</f>
        <v>6855.2970751180828</v>
      </c>
      <c r="K175" s="81">
        <f>$C$8*$C$9*K93</f>
        <v>7403.7208411275305</v>
      </c>
      <c r="L175" s="81">
        <f>$C$8*$C$9*L93</f>
        <v>7996.0185084177328</v>
      </c>
      <c r="M175" s="81">
        <f>$C$8*$C$9*M93</f>
        <v>8635.699989091152</v>
      </c>
      <c r="N175" s="81">
        <f>$C$8*$C$9*N93</f>
        <v>9326.5559882184443</v>
      </c>
      <c r="O175" s="81">
        <f>$C$8*$C$9*O93</f>
        <v>10072.680467275921</v>
      </c>
      <c r="P175" s="81">
        <f>$C$8*$C$9*P93</f>
        <v>10878.494904657997</v>
      </c>
      <c r="Q175" s="81">
        <f>$C$8*$C$9*Q93</f>
        <v>11748.774497030636</v>
      </c>
      <c r="R175" s="81">
        <f>$C$8*$C$9*R93</f>
        <v>12688.676456793088</v>
      </c>
      <c r="S175" s="81">
        <f>$C$8*$C$9*S93</f>
        <v>13703.770573336536</v>
      </c>
      <c r="T175" s="81">
        <f>$C$8*$C$9*T93</f>
        <v>14800.072219203459</v>
      </c>
      <c r="U175" s="81">
        <f>$C$8*$C$9*U93</f>
        <v>15984.077996739738</v>
      </c>
      <c r="V175" s="81">
        <f>$C$8*$C$9*V93</f>
        <v>17262.804236478918</v>
      </c>
      <c r="W175" s="81">
        <f>$C$8*$C$9*W93</f>
        <v>18643.828575397234</v>
      </c>
      <c r="X175" s="81">
        <f>$C$8*$C$9*X93</f>
        <v>20135.334861429012</v>
      </c>
      <c r="Y175" s="81">
        <f>$C$8*$C$9*Y93</f>
        <v>21746.161650343336</v>
      </c>
      <c r="Z175" s="81">
        <f>$C$8*$C$9*Z93</f>
        <v>23485.854582370805</v>
      </c>
      <c r="AA175" s="81">
        <f>$C$8*$C$9*AA93</f>
        <v>25364.722948960472</v>
      </c>
      <c r="AB175" s="81">
        <f>$C$8*$C$9*AB93</f>
        <v>27393.900784877314</v>
      </c>
      <c r="AC175" s="81">
        <f>$C$8*$C$9*AC93</f>
        <v>29585.412847667503</v>
      </c>
      <c r="AD175" s="81">
        <f>$C$8*$C$9*AD93</f>
        <v>31952.245875480905</v>
      </c>
      <c r="AE175" s="81">
        <f>$C$8*$C$9*AE93</f>
        <v>34508.425545519378</v>
      </c>
      <c r="AF175" s="81">
        <f>$C$8*$C$9*AF93</f>
        <v>37269.099589160927</v>
      </c>
    </row>
    <row r="176" spans="1:32" s="5" customFormat="1" x14ac:dyDescent="0.2">
      <c r="A176" s="79" t="s">
        <v>131</v>
      </c>
      <c r="B176" s="82" t="s">
        <v>49</v>
      </c>
      <c r="C176" s="133"/>
      <c r="D176" s="133"/>
      <c r="E176" s="133"/>
      <c r="F176" s="133">
        <f>F170+SUM(F173:F175)</f>
        <v>72676.967207274982</v>
      </c>
      <c r="G176" s="133">
        <f>G170+SUM(G173:G175)</f>
        <v>90931.931892502471</v>
      </c>
      <c r="H176" s="133">
        <f>H170+SUM(H173:H175)</f>
        <v>111689.45620621546</v>
      </c>
      <c r="I176" s="133">
        <f>I170+SUM(I173:I175)</f>
        <v>127905.32588753381</v>
      </c>
      <c r="J176" s="133">
        <f>J170+SUM(J173:J175)</f>
        <v>138137.75195853654</v>
      </c>
      <c r="K176" s="133">
        <f>K170+SUM(K173:K175)</f>
        <v>149188.77211521947</v>
      </c>
      <c r="L176" s="133">
        <f>L170+SUM(L173:L175)</f>
        <v>161123.87388443702</v>
      </c>
      <c r="M176" s="133">
        <f>M170+SUM(M173:M175)</f>
        <v>174013.78379519202</v>
      </c>
      <c r="N176" s="133">
        <f>N170+SUM(N173:N175)</f>
        <v>187934.88649880741</v>
      </c>
      <c r="O176" s="133">
        <f>O170+SUM(O173:O175)</f>
        <v>202969.67741871197</v>
      </c>
      <c r="P176" s="133">
        <f>P170+SUM(P173:P175)</f>
        <v>219207.25161220896</v>
      </c>
      <c r="Q176" s="133">
        <f>Q170+SUM(Q173:Q175)</f>
        <v>236743.83174118568</v>
      </c>
      <c r="R176" s="133">
        <f>R170+SUM(R173:R175)</f>
        <v>255683.33828048059</v>
      </c>
      <c r="S176" s="133">
        <f>S170+SUM(S173:S175)</f>
        <v>276138.00534291903</v>
      </c>
      <c r="T176" s="133">
        <f>T170+SUM(T173:T175)</f>
        <v>298229.04577035253</v>
      </c>
      <c r="U176" s="133">
        <f>U170+SUM(U173:U175)</f>
        <v>322087.36943198077</v>
      </c>
      <c r="V176" s="133">
        <f>V170+SUM(V173:V175)</f>
        <v>347854.3589865393</v>
      </c>
      <c r="W176" s="133">
        <f>W170+SUM(W173:W175)</f>
        <v>375682.70770546247</v>
      </c>
      <c r="X176" s="133">
        <f>X170+SUM(X173:X175)</f>
        <v>405737.32432189945</v>
      </c>
      <c r="Y176" s="133">
        <f>Y170+SUM(Y173:Y175)</f>
        <v>438196.3102676514</v>
      </c>
      <c r="Z176" s="133">
        <f>Z170+SUM(Z173:Z175)</f>
        <v>473252.01508906356</v>
      </c>
      <c r="AA176" s="133">
        <f>AA170+SUM(AA173:AA175)</f>
        <v>511112.17629618885</v>
      </c>
      <c r="AB176" s="133">
        <f>AB170+SUM(AB173:AB175)</f>
        <v>552001.15039988398</v>
      </c>
      <c r="AC176" s="133">
        <f>AC170+SUM(AC173:AC175)</f>
        <v>596161.24243187474</v>
      </c>
      <c r="AD176" s="133">
        <f>AD170+SUM(AD173:AD175)</f>
        <v>643854.14182642486</v>
      </c>
      <c r="AE176" s="133">
        <f>AE170+SUM(AE173:AE175)</f>
        <v>695362.4731725388</v>
      </c>
      <c r="AF176" s="133">
        <f>AF170+SUM(AF173:AF175)</f>
        <v>750991.4710263419</v>
      </c>
    </row>
    <row r="177" spans="1:32" x14ac:dyDescent="0.2">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row>
    <row r="178" spans="1:32" x14ac:dyDescent="0.2">
      <c r="A178" s="1"/>
      <c r="B178" s="1"/>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row>
    <row r="179" spans="1:32" x14ac:dyDescent="0.2">
      <c r="A179" s="77" t="s">
        <v>132</v>
      </c>
      <c r="B179" s="1"/>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row>
    <row r="180" spans="1:32" x14ac:dyDescent="0.2">
      <c r="A180" s="78" t="s">
        <v>120</v>
      </c>
      <c r="B180" s="80" t="s">
        <v>49</v>
      </c>
      <c r="C180" s="81"/>
      <c r="D180" s="81"/>
      <c r="E180" s="81"/>
      <c r="F180" s="81">
        <f>F164</f>
        <v>94234.886218472733</v>
      </c>
      <c r="G180" s="81">
        <f t="shared" ref="G180:AF180" si="21">G164</f>
        <v>122128.41253914067</v>
      </c>
      <c r="H180" s="81">
        <f t="shared" si="21"/>
        <v>153881.7997993172</v>
      </c>
      <c r="I180" s="81">
        <f t="shared" si="21"/>
        <v>189934.10718087159</v>
      </c>
      <c r="J180" s="81">
        <f t="shared" si="21"/>
        <v>205128.83575534131</v>
      </c>
      <c r="K180" s="81">
        <f t="shared" si="21"/>
        <v>221539.14261576865</v>
      </c>
      <c r="L180" s="81">
        <f t="shared" si="21"/>
        <v>239262.27402503014</v>
      </c>
      <c r="M180" s="81">
        <f t="shared" si="21"/>
        <v>258403.25594703262</v>
      </c>
      <c r="N180" s="81">
        <f t="shared" si="21"/>
        <v>279075.51642279525</v>
      </c>
      <c r="O180" s="81">
        <f t="shared" si="21"/>
        <v>301401.55773661879</v>
      </c>
      <c r="P180" s="81">
        <f t="shared" si="21"/>
        <v>325513.68235554837</v>
      </c>
      <c r="Q180" s="81">
        <f t="shared" si="21"/>
        <v>351554.77694399224</v>
      </c>
      <c r="R180" s="81">
        <f t="shared" si="21"/>
        <v>379679.15909951169</v>
      </c>
      <c r="S180" s="81">
        <f t="shared" si="21"/>
        <v>410053.4918274727</v>
      </c>
      <c r="T180" s="81">
        <f t="shared" si="21"/>
        <v>442857.77117367042</v>
      </c>
      <c r="U180" s="81">
        <f t="shared" si="21"/>
        <v>478286.39286756411</v>
      </c>
      <c r="V180" s="81">
        <f t="shared" si="21"/>
        <v>516549.30429696932</v>
      </c>
      <c r="W180" s="81">
        <f t="shared" si="21"/>
        <v>557873.2486407269</v>
      </c>
      <c r="X180" s="81">
        <f t="shared" si="21"/>
        <v>602503.10853198508</v>
      </c>
      <c r="Y180" s="81">
        <f t="shared" si="21"/>
        <v>650703.35721454385</v>
      </c>
      <c r="Z180" s="81">
        <f t="shared" si="21"/>
        <v>702759.62579170754</v>
      </c>
      <c r="AA180" s="81">
        <f t="shared" si="21"/>
        <v>758980.39585504436</v>
      </c>
      <c r="AB180" s="81">
        <f t="shared" si="21"/>
        <v>819698.82752344792</v>
      </c>
      <c r="AC180" s="81">
        <f t="shared" si="21"/>
        <v>885274.73372532369</v>
      </c>
      <c r="AD180" s="81">
        <f t="shared" si="21"/>
        <v>956096.71242334996</v>
      </c>
      <c r="AE180" s="81">
        <f t="shared" si="21"/>
        <v>1032584.4494172179</v>
      </c>
      <c r="AF180" s="81">
        <f t="shared" si="21"/>
        <v>1115191.2053705952</v>
      </c>
    </row>
    <row r="181" spans="1:32" x14ac:dyDescent="0.2">
      <c r="A181" s="78" t="s">
        <v>133</v>
      </c>
      <c r="B181" s="80" t="s">
        <v>49</v>
      </c>
      <c r="C181" s="81"/>
      <c r="D181" s="81"/>
      <c r="E181" s="81"/>
      <c r="F181" s="81">
        <f>F176</f>
        <v>72676.967207274982</v>
      </c>
      <c r="G181" s="81">
        <f>G176</f>
        <v>90931.931892502471</v>
      </c>
      <c r="H181" s="81">
        <f>H176</f>
        <v>111689.45620621546</v>
      </c>
      <c r="I181" s="81">
        <f>I176</f>
        <v>127905.32588753381</v>
      </c>
      <c r="J181" s="81">
        <f>J176</f>
        <v>138137.75195853654</v>
      </c>
      <c r="K181" s="81">
        <f>K176</f>
        <v>149188.77211521947</v>
      </c>
      <c r="L181" s="81">
        <f>L176</f>
        <v>161123.87388443702</v>
      </c>
      <c r="M181" s="81">
        <f>M176</f>
        <v>174013.78379519202</v>
      </c>
      <c r="N181" s="81">
        <f>N176</f>
        <v>187934.88649880741</v>
      </c>
      <c r="O181" s="81">
        <f>O176</f>
        <v>202969.67741871197</v>
      </c>
      <c r="P181" s="81">
        <f>P176</f>
        <v>219207.25161220896</v>
      </c>
      <c r="Q181" s="81">
        <f>Q176</f>
        <v>236743.83174118568</v>
      </c>
      <c r="R181" s="81">
        <f>R176</f>
        <v>255683.33828048059</v>
      </c>
      <c r="S181" s="81">
        <f>S176</f>
        <v>276138.00534291903</v>
      </c>
      <c r="T181" s="81">
        <f>T176</f>
        <v>298229.04577035253</v>
      </c>
      <c r="U181" s="81">
        <f>U176</f>
        <v>322087.36943198077</v>
      </c>
      <c r="V181" s="81">
        <f>V176</f>
        <v>347854.3589865393</v>
      </c>
      <c r="W181" s="81">
        <f>W176</f>
        <v>375682.70770546247</v>
      </c>
      <c r="X181" s="81">
        <f>X176</f>
        <v>405737.32432189945</v>
      </c>
      <c r="Y181" s="81">
        <f>Y176</f>
        <v>438196.3102676514</v>
      </c>
      <c r="Z181" s="81">
        <f>Z176</f>
        <v>473252.01508906356</v>
      </c>
      <c r="AA181" s="81">
        <f>AA176</f>
        <v>511112.17629618885</v>
      </c>
      <c r="AB181" s="81">
        <f>AB176</f>
        <v>552001.15039988398</v>
      </c>
      <c r="AC181" s="81">
        <f>AC176</f>
        <v>596161.24243187474</v>
      </c>
      <c r="AD181" s="81">
        <f>AD176</f>
        <v>643854.14182642486</v>
      </c>
      <c r="AE181" s="81">
        <f>AE176</f>
        <v>695362.4731725388</v>
      </c>
      <c r="AF181" s="81">
        <f>AF176</f>
        <v>750991.4710263419</v>
      </c>
    </row>
    <row r="182" spans="1:32" x14ac:dyDescent="0.2">
      <c r="A182" s="78" t="s">
        <v>134</v>
      </c>
      <c r="B182" s="80" t="s">
        <v>49</v>
      </c>
      <c r="C182" s="81"/>
      <c r="D182" s="81"/>
      <c r="E182" s="81"/>
      <c r="F182" s="81">
        <f>F180-F181</f>
        <v>21557.919011197751</v>
      </c>
      <c r="G182" s="81">
        <f t="shared" ref="G182:AF182" si="22">G180-G181</f>
        <v>31196.4806466382</v>
      </c>
      <c r="H182" s="81">
        <f t="shared" si="22"/>
        <v>42192.343593101745</v>
      </c>
      <c r="I182" s="81">
        <f t="shared" si="22"/>
        <v>62028.781293337786</v>
      </c>
      <c r="J182" s="81">
        <f t="shared" si="22"/>
        <v>66991.083796804771</v>
      </c>
      <c r="K182" s="81">
        <f t="shared" si="22"/>
        <v>72350.370500549179</v>
      </c>
      <c r="L182" s="81">
        <f t="shared" si="22"/>
        <v>78138.400140593119</v>
      </c>
      <c r="M182" s="81">
        <f t="shared" si="22"/>
        <v>84389.4721518406</v>
      </c>
      <c r="N182" s="81">
        <f t="shared" si="22"/>
        <v>91140.629923987843</v>
      </c>
      <c r="O182" s="81">
        <f t="shared" si="22"/>
        <v>98431.88031790682</v>
      </c>
      <c r="P182" s="81">
        <f t="shared" si="22"/>
        <v>106306.43074333941</v>
      </c>
      <c r="Q182" s="81">
        <f t="shared" si="22"/>
        <v>114810.94520280656</v>
      </c>
      <c r="R182" s="81">
        <f t="shared" si="22"/>
        <v>123995.8208190311</v>
      </c>
      <c r="S182" s="81">
        <f t="shared" si="22"/>
        <v>133915.48648455366</v>
      </c>
      <c r="T182" s="81">
        <f t="shared" si="22"/>
        <v>144628.72540331789</v>
      </c>
      <c r="U182" s="81">
        <f t="shared" si="22"/>
        <v>156199.02343558334</v>
      </c>
      <c r="V182" s="81">
        <f t="shared" si="22"/>
        <v>168694.94531043002</v>
      </c>
      <c r="W182" s="81">
        <f t="shared" si="22"/>
        <v>182190.54093526443</v>
      </c>
      <c r="X182" s="81">
        <f t="shared" si="22"/>
        <v>196765.78421008564</v>
      </c>
      <c r="Y182" s="81">
        <f t="shared" si="22"/>
        <v>212507.04694689246</v>
      </c>
      <c r="Z182" s="81">
        <f t="shared" si="22"/>
        <v>229507.61070264399</v>
      </c>
      <c r="AA182" s="81">
        <f t="shared" si="22"/>
        <v>247868.21955885552</v>
      </c>
      <c r="AB182" s="81">
        <f t="shared" si="22"/>
        <v>267697.67712356395</v>
      </c>
      <c r="AC182" s="81">
        <f t="shared" si="22"/>
        <v>289113.49129344895</v>
      </c>
      <c r="AD182" s="81">
        <f t="shared" si="22"/>
        <v>312242.5705969251</v>
      </c>
      <c r="AE182" s="81">
        <f t="shared" si="22"/>
        <v>337221.97624467907</v>
      </c>
      <c r="AF182" s="81">
        <f t="shared" si="22"/>
        <v>364199.73434425332</v>
      </c>
    </row>
    <row r="183" spans="1:32" x14ac:dyDescent="0.2">
      <c r="A183" s="78" t="s">
        <v>135</v>
      </c>
      <c r="B183" s="80" t="s">
        <v>49</v>
      </c>
      <c r="C183" s="81"/>
      <c r="D183" s="81"/>
      <c r="E183" s="81"/>
      <c r="F183" s="81">
        <f>F154</f>
        <v>29238.770011219385</v>
      </c>
      <c r="G183" s="81">
        <f>G154</f>
        <v>29238.770011219385</v>
      </c>
      <c r="H183" s="81">
        <f>H154</f>
        <v>29238.770011219385</v>
      </c>
      <c r="I183" s="81">
        <f>I154</f>
        <v>29238.770011219385</v>
      </c>
      <c r="J183" s="81">
        <f>J154</f>
        <v>29238.770011219385</v>
      </c>
      <c r="K183" s="81">
        <f>K154</f>
        <v>17846.212379731383</v>
      </c>
      <c r="L183" s="81">
        <f>L154</f>
        <v>17846.212379731383</v>
      </c>
      <c r="M183" s="81">
        <f>M154</f>
        <v>17846.212379731383</v>
      </c>
      <c r="N183" s="81">
        <f>N154</f>
        <v>17846.212379731383</v>
      </c>
      <c r="O183" s="81">
        <f>O154</f>
        <v>17846.212379731383</v>
      </c>
      <c r="P183" s="81">
        <f>P154</f>
        <v>17846.212379731383</v>
      </c>
      <c r="Q183" s="81">
        <f>Q154</f>
        <v>17846.212379731383</v>
      </c>
      <c r="R183" s="81">
        <f>R154</f>
        <v>17846.212379731383</v>
      </c>
      <c r="S183" s="81">
        <f>S154</f>
        <v>17846.212379731383</v>
      </c>
      <c r="T183" s="81">
        <f>T154</f>
        <v>17846.212379731383</v>
      </c>
      <c r="U183" s="81">
        <f>U154</f>
        <v>17846.212379731383</v>
      </c>
      <c r="V183" s="81">
        <f>V154</f>
        <v>17846.212379731383</v>
      </c>
      <c r="W183" s="81">
        <f>W154</f>
        <v>17846.212379731383</v>
      </c>
      <c r="X183" s="81">
        <f>X154</f>
        <v>17846.212379731383</v>
      </c>
      <c r="Y183" s="81">
        <f>Y154</f>
        <v>17846.212379731383</v>
      </c>
      <c r="Z183" s="81">
        <f>Z154</f>
        <v>17846.212379731383</v>
      </c>
      <c r="AA183" s="81">
        <f>AA154</f>
        <v>17846.212379731383</v>
      </c>
      <c r="AB183" s="81">
        <f>AB154</f>
        <v>17846.212379731383</v>
      </c>
      <c r="AC183" s="81">
        <f>AC154</f>
        <v>17846.212379731383</v>
      </c>
      <c r="AD183" s="81">
        <f>AD154</f>
        <v>17846.212379731383</v>
      </c>
      <c r="AE183" s="81">
        <f>AE154</f>
        <v>0</v>
      </c>
      <c r="AF183" s="81">
        <f>AF154</f>
        <v>0</v>
      </c>
    </row>
    <row r="184" spans="1:32" x14ac:dyDescent="0.2">
      <c r="A184" s="78" t="s">
        <v>136</v>
      </c>
      <c r="B184" s="80" t="s">
        <v>49</v>
      </c>
      <c r="C184" s="81"/>
      <c r="D184" s="81"/>
      <c r="E184" s="81"/>
      <c r="F184" s="81">
        <f>F182-F183</f>
        <v>-7680.8510000216338</v>
      </c>
      <c r="G184" s="81">
        <f t="shared" ref="G184:AF184" si="23">G182-G183</f>
        <v>1957.7106354188145</v>
      </c>
      <c r="H184" s="81">
        <f t="shared" si="23"/>
        <v>12953.57358188236</v>
      </c>
      <c r="I184" s="81">
        <f t="shared" si="23"/>
        <v>32790.011282118401</v>
      </c>
      <c r="J184" s="81">
        <f t="shared" si="23"/>
        <v>37752.313785585386</v>
      </c>
      <c r="K184" s="81">
        <f t="shared" si="23"/>
        <v>54504.158120817796</v>
      </c>
      <c r="L184" s="81">
        <f t="shared" si="23"/>
        <v>60292.187760861736</v>
      </c>
      <c r="M184" s="81">
        <f t="shared" si="23"/>
        <v>66543.259772109217</v>
      </c>
      <c r="N184" s="81">
        <f t="shared" si="23"/>
        <v>73294.417544256459</v>
      </c>
      <c r="O184" s="81">
        <f t="shared" si="23"/>
        <v>80585.667938175437</v>
      </c>
      <c r="P184" s="81">
        <f t="shared" si="23"/>
        <v>88460.21836360803</v>
      </c>
      <c r="Q184" s="81">
        <f t="shared" si="23"/>
        <v>96964.732823075174</v>
      </c>
      <c r="R184" s="81">
        <f t="shared" si="23"/>
        <v>106149.60843929971</v>
      </c>
      <c r="S184" s="81">
        <f t="shared" si="23"/>
        <v>116069.27410482228</v>
      </c>
      <c r="T184" s="81">
        <f t="shared" si="23"/>
        <v>126782.51302358651</v>
      </c>
      <c r="U184" s="81">
        <f t="shared" si="23"/>
        <v>138352.81105585195</v>
      </c>
      <c r="V184" s="81">
        <f t="shared" si="23"/>
        <v>150848.73293069864</v>
      </c>
      <c r="W184" s="81">
        <f t="shared" si="23"/>
        <v>164344.32855553305</v>
      </c>
      <c r="X184" s="81">
        <f t="shared" si="23"/>
        <v>178919.57183035425</v>
      </c>
      <c r="Y184" s="81">
        <f t="shared" si="23"/>
        <v>194660.83456716107</v>
      </c>
      <c r="Z184" s="81">
        <f t="shared" si="23"/>
        <v>211661.3983229126</v>
      </c>
      <c r="AA184" s="81">
        <f t="shared" si="23"/>
        <v>230022.00717912414</v>
      </c>
      <c r="AB184" s="81">
        <f t="shared" si="23"/>
        <v>249851.46474383256</v>
      </c>
      <c r="AC184" s="81">
        <f t="shared" si="23"/>
        <v>271267.2789137176</v>
      </c>
      <c r="AD184" s="81">
        <f t="shared" si="23"/>
        <v>294396.35821719375</v>
      </c>
      <c r="AE184" s="81">
        <f t="shared" si="23"/>
        <v>337221.97624467907</v>
      </c>
      <c r="AF184" s="81">
        <f t="shared" si="23"/>
        <v>364199.73434425332</v>
      </c>
    </row>
    <row r="185" spans="1:32" x14ac:dyDescent="0.2">
      <c r="A185" s="78" t="s">
        <v>137</v>
      </c>
      <c r="B185" s="80" t="s">
        <v>49</v>
      </c>
      <c r="C185" s="81"/>
      <c r="D185" s="81"/>
      <c r="E185" s="81"/>
      <c r="F185" s="81">
        <f>F141</f>
        <v>41076.547429446277</v>
      </c>
      <c r="G185" s="81">
        <f>G141</f>
        <v>41076.547429446277</v>
      </c>
      <c r="H185" s="81">
        <f>H141</f>
        <v>41076.547429446277</v>
      </c>
      <c r="I185" s="81">
        <f>I141</f>
        <v>41076.547429446277</v>
      </c>
      <c r="J185" s="81">
        <f>J141</f>
        <v>41076.547429446277</v>
      </c>
      <c r="K185" s="81">
        <f>K141</f>
        <v>36968.892686501647</v>
      </c>
      <c r="L185" s="81">
        <f>L141</f>
        <v>32861.237943557018</v>
      </c>
      <c r="M185" s="81">
        <f>M141</f>
        <v>28753.583200612393</v>
      </c>
      <c r="N185" s="81">
        <f>N141</f>
        <v>24645.928457667767</v>
      </c>
      <c r="O185" s="81">
        <f>O141</f>
        <v>20538.273714723138</v>
      </c>
      <c r="P185" s="81">
        <f>P141</f>
        <v>16430.618971778509</v>
      </c>
      <c r="Q185" s="81">
        <f>Q141</f>
        <v>12322.964228833884</v>
      </c>
      <c r="R185" s="81">
        <f>R141</f>
        <v>8215.3094858892546</v>
      </c>
      <c r="S185" s="81">
        <f>S141</f>
        <v>4107.6547429446273</v>
      </c>
      <c r="T185" s="81">
        <f>T141</f>
        <v>0</v>
      </c>
      <c r="U185" s="81">
        <f>U141</f>
        <v>0</v>
      </c>
      <c r="V185" s="81">
        <f>V141</f>
        <v>0</v>
      </c>
      <c r="W185" s="81">
        <f>W141</f>
        <v>0</v>
      </c>
      <c r="X185" s="81">
        <f>X141</f>
        <v>0</v>
      </c>
      <c r="Y185" s="81">
        <f>Y141</f>
        <v>0</v>
      </c>
      <c r="Z185" s="81">
        <f>Z141</f>
        <v>0</v>
      </c>
      <c r="AA185" s="81">
        <f>AA141</f>
        <v>0</v>
      </c>
      <c r="AB185" s="81">
        <f>AB141</f>
        <v>0</v>
      </c>
      <c r="AC185" s="81">
        <f>AC141</f>
        <v>0</v>
      </c>
      <c r="AD185" s="81">
        <f>AD141</f>
        <v>0</v>
      </c>
      <c r="AE185" s="81">
        <f>AE141</f>
        <v>0</v>
      </c>
      <c r="AF185" s="81">
        <f>AF141</f>
        <v>0</v>
      </c>
    </row>
    <row r="186" spans="1:32" x14ac:dyDescent="0.2">
      <c r="A186" s="78" t="s">
        <v>138</v>
      </c>
      <c r="B186" s="80" t="s">
        <v>49</v>
      </c>
      <c r="C186" s="81"/>
      <c r="D186" s="81"/>
      <c r="E186" s="81"/>
      <c r="F186" s="81">
        <f>F184-F185</f>
        <v>-48757.39842946791</v>
      </c>
      <c r="G186" s="81">
        <f t="shared" ref="G186:AF186" si="24">G184-G185</f>
        <v>-39118.836794027462</v>
      </c>
      <c r="H186" s="81">
        <f t="shared" si="24"/>
        <v>-28122.973847563917</v>
      </c>
      <c r="I186" s="81">
        <f t="shared" si="24"/>
        <v>-8286.5361473278754</v>
      </c>
      <c r="J186" s="81">
        <f t="shared" si="24"/>
        <v>-3324.2336438608909</v>
      </c>
      <c r="K186" s="81">
        <f t="shared" si="24"/>
        <v>17535.265434316148</v>
      </c>
      <c r="L186" s="81">
        <f t="shared" si="24"/>
        <v>27430.949817304718</v>
      </c>
      <c r="M186" s="81">
        <f t="shared" si="24"/>
        <v>37789.676571496821</v>
      </c>
      <c r="N186" s="81">
        <f t="shared" si="24"/>
        <v>48648.489086588692</v>
      </c>
      <c r="O186" s="81">
        <f t="shared" si="24"/>
        <v>60047.394223452298</v>
      </c>
      <c r="P186" s="81">
        <f t="shared" si="24"/>
        <v>72029.599391829513</v>
      </c>
      <c r="Q186" s="81">
        <f t="shared" si="24"/>
        <v>84641.768594241294</v>
      </c>
      <c r="R186" s="81">
        <f t="shared" si="24"/>
        <v>97934.298953410456</v>
      </c>
      <c r="S186" s="81">
        <f t="shared" si="24"/>
        <v>111961.61936187766</v>
      </c>
      <c r="T186" s="81">
        <f t="shared" si="24"/>
        <v>126782.51302358651</v>
      </c>
      <c r="U186" s="81">
        <f t="shared" si="24"/>
        <v>138352.81105585195</v>
      </c>
      <c r="V186" s="81">
        <f t="shared" si="24"/>
        <v>150848.73293069864</v>
      </c>
      <c r="W186" s="81">
        <f t="shared" si="24"/>
        <v>164344.32855553305</v>
      </c>
      <c r="X186" s="81">
        <f t="shared" si="24"/>
        <v>178919.57183035425</v>
      </c>
      <c r="Y186" s="81">
        <f t="shared" si="24"/>
        <v>194660.83456716107</v>
      </c>
      <c r="Z186" s="81">
        <f t="shared" si="24"/>
        <v>211661.3983229126</v>
      </c>
      <c r="AA186" s="81">
        <f t="shared" si="24"/>
        <v>230022.00717912414</v>
      </c>
      <c r="AB186" s="81">
        <f t="shared" si="24"/>
        <v>249851.46474383256</v>
      </c>
      <c r="AC186" s="81">
        <f t="shared" si="24"/>
        <v>271267.2789137176</v>
      </c>
      <c r="AD186" s="81">
        <f t="shared" si="24"/>
        <v>294396.35821719375</v>
      </c>
      <c r="AE186" s="81">
        <f t="shared" si="24"/>
        <v>337221.97624467907</v>
      </c>
      <c r="AF186" s="81">
        <f t="shared" si="24"/>
        <v>364199.73434425332</v>
      </c>
    </row>
    <row r="187" spans="1:32" x14ac:dyDescent="0.2">
      <c r="A187" s="78" t="s">
        <v>139</v>
      </c>
      <c r="B187" s="80" t="s">
        <v>49</v>
      </c>
      <c r="C187" s="81"/>
      <c r="D187" s="81"/>
      <c r="E187" s="81"/>
      <c r="F187" s="81">
        <f t="shared" ref="F187:AF187" si="25">E187+F186</f>
        <v>-48757.39842946791</v>
      </c>
      <c r="G187" s="81">
        <f t="shared" si="25"/>
        <v>-87876.235223495372</v>
      </c>
      <c r="H187" s="81">
        <f t="shared" si="25"/>
        <v>-115999.20907105929</v>
      </c>
      <c r="I187" s="81">
        <f t="shared" si="25"/>
        <v>-124285.74521838716</v>
      </c>
      <c r="J187" s="81">
        <f t="shared" si="25"/>
        <v>-127609.97886224806</v>
      </c>
      <c r="K187" s="81">
        <f t="shared" si="25"/>
        <v>-110074.71342793191</v>
      </c>
      <c r="L187" s="81">
        <f t="shared" si="25"/>
        <v>-82643.763610627197</v>
      </c>
      <c r="M187" s="81">
        <f t="shared" si="25"/>
        <v>-44854.087039130376</v>
      </c>
      <c r="N187" s="81">
        <f t="shared" si="25"/>
        <v>3794.4020474583158</v>
      </c>
      <c r="O187" s="81">
        <f t="shared" si="25"/>
        <v>63841.796270910614</v>
      </c>
      <c r="P187" s="81">
        <f t="shared" si="25"/>
        <v>135871.39566274013</v>
      </c>
      <c r="Q187" s="81">
        <f t="shared" si="25"/>
        <v>220513.16425698143</v>
      </c>
      <c r="R187" s="81">
        <f t="shared" si="25"/>
        <v>318447.46321039187</v>
      </c>
      <c r="S187" s="81">
        <f t="shared" si="25"/>
        <v>430409.08257226954</v>
      </c>
      <c r="T187" s="81">
        <f t="shared" si="25"/>
        <v>557191.59559585608</v>
      </c>
      <c r="U187" s="81">
        <f t="shared" si="25"/>
        <v>695544.40665170806</v>
      </c>
      <c r="V187" s="81">
        <f t="shared" si="25"/>
        <v>846393.13958240673</v>
      </c>
      <c r="W187" s="81">
        <f t="shared" si="25"/>
        <v>1010737.4681379398</v>
      </c>
      <c r="X187" s="81">
        <f t="shared" si="25"/>
        <v>1189657.0399682941</v>
      </c>
      <c r="Y187" s="81">
        <f t="shared" si="25"/>
        <v>1384317.8745354551</v>
      </c>
      <c r="Z187" s="81">
        <f t="shared" si="25"/>
        <v>1595979.2728583678</v>
      </c>
      <c r="AA187" s="81">
        <f t="shared" si="25"/>
        <v>1826001.2800374918</v>
      </c>
      <c r="AB187" s="81">
        <f t="shared" si="25"/>
        <v>2075852.7447813244</v>
      </c>
      <c r="AC187" s="81">
        <f t="shared" si="25"/>
        <v>2347120.0236950419</v>
      </c>
      <c r="AD187" s="81">
        <f t="shared" si="25"/>
        <v>2641516.3819122356</v>
      </c>
      <c r="AE187" s="81">
        <f t="shared" si="25"/>
        <v>2978738.3581569148</v>
      </c>
      <c r="AF187" s="81">
        <f t="shared" si="25"/>
        <v>3342938.0925011681</v>
      </c>
    </row>
    <row r="188" spans="1:32" x14ac:dyDescent="0.2">
      <c r="A188" s="78" t="s">
        <v>140</v>
      </c>
      <c r="B188" s="80" t="s">
        <v>49</v>
      </c>
      <c r="C188" s="81"/>
      <c r="D188" s="81"/>
      <c r="E188" s="81"/>
      <c r="F188" s="81">
        <f>IF(F187&lt;0,0,IF(E187&lt;0,F187,F186))</f>
        <v>0</v>
      </c>
      <c r="G188" s="81">
        <f t="shared" ref="G188:AF188" si="26">IF(G187&lt;0,0,IF(F187&lt;0,G187,G186))</f>
        <v>0</v>
      </c>
      <c r="H188" s="81">
        <f t="shared" si="26"/>
        <v>0</v>
      </c>
      <c r="I188" s="81">
        <f t="shared" si="26"/>
        <v>0</v>
      </c>
      <c r="J188" s="81">
        <f t="shared" si="26"/>
        <v>0</v>
      </c>
      <c r="K188" s="81">
        <f t="shared" si="26"/>
        <v>0</v>
      </c>
      <c r="L188" s="81">
        <f t="shared" si="26"/>
        <v>0</v>
      </c>
      <c r="M188" s="81">
        <f t="shared" si="26"/>
        <v>0</v>
      </c>
      <c r="N188" s="81">
        <f t="shared" si="26"/>
        <v>3794.4020474583158</v>
      </c>
      <c r="O188" s="81">
        <f t="shared" si="26"/>
        <v>60047.394223452298</v>
      </c>
      <c r="P188" s="81">
        <f t="shared" si="26"/>
        <v>72029.599391829513</v>
      </c>
      <c r="Q188" s="81">
        <f t="shared" si="26"/>
        <v>84641.768594241294</v>
      </c>
      <c r="R188" s="81">
        <f t="shared" si="26"/>
        <v>97934.298953410456</v>
      </c>
      <c r="S188" s="81">
        <f t="shared" si="26"/>
        <v>111961.61936187766</v>
      </c>
      <c r="T188" s="81">
        <f t="shared" si="26"/>
        <v>126782.51302358651</v>
      </c>
      <c r="U188" s="81">
        <f t="shared" si="26"/>
        <v>138352.81105585195</v>
      </c>
      <c r="V188" s="81">
        <f t="shared" si="26"/>
        <v>150848.73293069864</v>
      </c>
      <c r="W188" s="81">
        <f t="shared" si="26"/>
        <v>164344.32855553305</v>
      </c>
      <c r="X188" s="81">
        <f t="shared" si="26"/>
        <v>178919.57183035425</v>
      </c>
      <c r="Y188" s="81">
        <f t="shared" si="26"/>
        <v>194660.83456716107</v>
      </c>
      <c r="Z188" s="81">
        <f t="shared" si="26"/>
        <v>211661.3983229126</v>
      </c>
      <c r="AA188" s="81">
        <f t="shared" si="26"/>
        <v>230022.00717912414</v>
      </c>
      <c r="AB188" s="81">
        <f t="shared" si="26"/>
        <v>249851.46474383256</v>
      </c>
      <c r="AC188" s="81">
        <f t="shared" si="26"/>
        <v>271267.2789137176</v>
      </c>
      <c r="AD188" s="81">
        <f t="shared" si="26"/>
        <v>294396.35821719375</v>
      </c>
      <c r="AE188" s="81">
        <f t="shared" si="26"/>
        <v>337221.97624467907</v>
      </c>
      <c r="AF188" s="81">
        <f t="shared" si="26"/>
        <v>364199.73434425332</v>
      </c>
    </row>
    <row r="189" spans="1:32" x14ac:dyDescent="0.2">
      <c r="A189" s="79" t="s">
        <v>141</v>
      </c>
      <c r="B189" s="80" t="s">
        <v>49</v>
      </c>
      <c r="C189" s="81"/>
      <c r="D189" s="81"/>
      <c r="E189" s="81"/>
      <c r="F189" s="81">
        <f>F188*$C$88</f>
        <v>0</v>
      </c>
      <c r="G189" s="81">
        <f t="shared" ref="G189:AF189" si="27">G188*$C$88</f>
        <v>0</v>
      </c>
      <c r="H189" s="81">
        <f t="shared" si="27"/>
        <v>0</v>
      </c>
      <c r="I189" s="81">
        <f t="shared" si="27"/>
        <v>0</v>
      </c>
      <c r="J189" s="81">
        <f t="shared" si="27"/>
        <v>0</v>
      </c>
      <c r="K189" s="81">
        <f>K188*$C$88</f>
        <v>0</v>
      </c>
      <c r="L189" s="81">
        <f t="shared" si="27"/>
        <v>0</v>
      </c>
      <c r="M189" s="81">
        <f t="shared" si="27"/>
        <v>0</v>
      </c>
      <c r="N189" s="81">
        <f t="shared" si="27"/>
        <v>948.60051186457895</v>
      </c>
      <c r="O189" s="81">
        <f t="shared" si="27"/>
        <v>15011.848555863075</v>
      </c>
      <c r="P189" s="81">
        <f>P188*$C$88</f>
        <v>18007.399847957378</v>
      </c>
      <c r="Q189" s="81">
        <f t="shared" si="27"/>
        <v>21160.442148560323</v>
      </c>
      <c r="R189" s="81">
        <f t="shared" si="27"/>
        <v>24483.574738352614</v>
      </c>
      <c r="S189" s="81">
        <f t="shared" si="27"/>
        <v>27990.404840469415</v>
      </c>
      <c r="T189" s="81">
        <f t="shared" si="27"/>
        <v>31695.628255896627</v>
      </c>
      <c r="U189" s="81">
        <f t="shared" si="27"/>
        <v>34588.202763962989</v>
      </c>
      <c r="V189" s="81">
        <f t="shared" si="27"/>
        <v>37712.183232674659</v>
      </c>
      <c r="W189" s="81">
        <f t="shared" si="27"/>
        <v>41086.082138883263</v>
      </c>
      <c r="X189" s="81">
        <f t="shared" si="27"/>
        <v>44729.892957588563</v>
      </c>
      <c r="Y189" s="81">
        <f t="shared" si="27"/>
        <v>48665.208641790268</v>
      </c>
      <c r="Z189" s="81">
        <f t="shared" si="27"/>
        <v>52915.349580728151</v>
      </c>
      <c r="AA189" s="81">
        <f t="shared" si="27"/>
        <v>57505.501794781034</v>
      </c>
      <c r="AB189" s="81">
        <f t="shared" si="27"/>
        <v>62462.866185958141</v>
      </c>
      <c r="AC189" s="81">
        <f t="shared" si="27"/>
        <v>67816.8197284294</v>
      </c>
      <c r="AD189" s="81">
        <f t="shared" si="27"/>
        <v>73599.089554298436</v>
      </c>
      <c r="AE189" s="81">
        <f t="shared" si="27"/>
        <v>84305.494061169768</v>
      </c>
      <c r="AF189" s="81">
        <f t="shared" si="27"/>
        <v>91049.933586063329</v>
      </c>
    </row>
    <row r="190" spans="1:32" x14ac:dyDescent="0.2">
      <c r="A190" s="78" t="s">
        <v>142</v>
      </c>
      <c r="B190" s="80" t="s">
        <v>49</v>
      </c>
      <c r="C190" s="81"/>
      <c r="D190" s="81"/>
      <c r="E190" s="81"/>
      <c r="F190" s="81">
        <f>F186-F189</f>
        <v>-48757.39842946791</v>
      </c>
      <c r="G190" s="81">
        <f t="shared" ref="G190:AF190" si="28">G186-G189</f>
        <v>-39118.836794027462</v>
      </c>
      <c r="H190" s="81">
        <f t="shared" si="28"/>
        <v>-28122.973847563917</v>
      </c>
      <c r="I190" s="81">
        <f t="shared" si="28"/>
        <v>-8286.5361473278754</v>
      </c>
      <c r="J190" s="81">
        <f t="shared" si="28"/>
        <v>-3324.2336438608909</v>
      </c>
      <c r="K190" s="81">
        <f t="shared" si="28"/>
        <v>17535.265434316148</v>
      </c>
      <c r="L190" s="81">
        <f t="shared" si="28"/>
        <v>27430.949817304718</v>
      </c>
      <c r="M190" s="81">
        <f t="shared" si="28"/>
        <v>37789.676571496821</v>
      </c>
      <c r="N190" s="81">
        <f t="shared" si="28"/>
        <v>47699.888574724115</v>
      </c>
      <c r="O190" s="81">
        <f t="shared" si="28"/>
        <v>45035.54566758922</v>
      </c>
      <c r="P190" s="81">
        <f>P186-P189</f>
        <v>54022.199543872135</v>
      </c>
      <c r="Q190" s="81">
        <f t="shared" si="28"/>
        <v>63481.32644568097</v>
      </c>
      <c r="R190" s="81">
        <f t="shared" si="28"/>
        <v>73450.724215057839</v>
      </c>
      <c r="S190" s="81">
        <f t="shared" si="28"/>
        <v>83971.214521408241</v>
      </c>
      <c r="T190" s="81">
        <f t="shared" si="28"/>
        <v>95086.884767689888</v>
      </c>
      <c r="U190" s="81">
        <f t="shared" si="28"/>
        <v>103764.60829188896</v>
      </c>
      <c r="V190" s="81">
        <f t="shared" si="28"/>
        <v>113136.54969802397</v>
      </c>
      <c r="W190" s="81">
        <f t="shared" si="28"/>
        <v>123258.24641664978</v>
      </c>
      <c r="X190" s="81">
        <f t="shared" si="28"/>
        <v>134189.67887276568</v>
      </c>
      <c r="Y190" s="81">
        <f t="shared" si="28"/>
        <v>145995.62592537081</v>
      </c>
      <c r="Z190" s="81">
        <f t="shared" si="28"/>
        <v>158746.04874218444</v>
      </c>
      <c r="AA190" s="81">
        <f t="shared" si="28"/>
        <v>172516.50538434309</v>
      </c>
      <c r="AB190" s="81">
        <f t="shared" si="28"/>
        <v>187388.59855787441</v>
      </c>
      <c r="AC190" s="81">
        <f t="shared" si="28"/>
        <v>203450.4591852882</v>
      </c>
      <c r="AD190" s="81">
        <f t="shared" si="28"/>
        <v>220797.26866289531</v>
      </c>
      <c r="AE190" s="81">
        <f t="shared" si="28"/>
        <v>252916.4821835093</v>
      </c>
      <c r="AF190" s="81">
        <f t="shared" si="28"/>
        <v>273149.80075818999</v>
      </c>
    </row>
    <row r="191" spans="1:32" x14ac:dyDescent="0.2">
      <c r="A191" s="1"/>
      <c r="B191" s="1"/>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row>
    <row r="192" spans="1:32" x14ac:dyDescent="0.2">
      <c r="A192" s="83" t="s">
        <v>143</v>
      </c>
      <c r="B192" s="1"/>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row>
    <row r="193" spans="1:32" x14ac:dyDescent="0.2">
      <c r="A193" s="84" t="s">
        <v>144</v>
      </c>
      <c r="B193" s="88"/>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c r="AB193" s="90"/>
      <c r="AC193" s="90"/>
      <c r="AD193" s="90"/>
      <c r="AE193" s="90"/>
      <c r="AF193" s="90"/>
    </row>
    <row r="194" spans="1:32" x14ac:dyDescent="0.2">
      <c r="A194" s="85" t="s">
        <v>120</v>
      </c>
      <c r="B194" s="88" t="s">
        <v>49</v>
      </c>
      <c r="C194" s="90"/>
      <c r="D194" s="90"/>
      <c r="E194" s="90"/>
      <c r="F194" s="90">
        <f>F180</f>
        <v>94234.886218472733</v>
      </c>
      <c r="G194" s="90">
        <f t="shared" ref="G194:AF194" si="29">G180</f>
        <v>122128.41253914067</v>
      </c>
      <c r="H194" s="90">
        <f t="shared" si="29"/>
        <v>153881.7997993172</v>
      </c>
      <c r="I194" s="90">
        <f t="shared" si="29"/>
        <v>189934.10718087159</v>
      </c>
      <c r="J194" s="90">
        <f t="shared" si="29"/>
        <v>205128.83575534131</v>
      </c>
      <c r="K194" s="90">
        <f t="shared" si="29"/>
        <v>221539.14261576865</v>
      </c>
      <c r="L194" s="90">
        <f t="shared" si="29"/>
        <v>239262.27402503014</v>
      </c>
      <c r="M194" s="90">
        <f t="shared" si="29"/>
        <v>258403.25594703262</v>
      </c>
      <c r="N194" s="90">
        <f t="shared" si="29"/>
        <v>279075.51642279525</v>
      </c>
      <c r="O194" s="90">
        <f t="shared" si="29"/>
        <v>301401.55773661879</v>
      </c>
      <c r="P194" s="90">
        <f t="shared" si="29"/>
        <v>325513.68235554837</v>
      </c>
      <c r="Q194" s="90">
        <f t="shared" si="29"/>
        <v>351554.77694399224</v>
      </c>
      <c r="R194" s="90">
        <f t="shared" si="29"/>
        <v>379679.15909951169</v>
      </c>
      <c r="S194" s="90">
        <f t="shared" si="29"/>
        <v>410053.4918274727</v>
      </c>
      <c r="T194" s="90">
        <f t="shared" si="29"/>
        <v>442857.77117367042</v>
      </c>
      <c r="U194" s="90">
        <f t="shared" si="29"/>
        <v>478286.39286756411</v>
      </c>
      <c r="V194" s="90">
        <f t="shared" si="29"/>
        <v>516549.30429696932</v>
      </c>
      <c r="W194" s="90">
        <f t="shared" si="29"/>
        <v>557873.2486407269</v>
      </c>
      <c r="X194" s="90">
        <f t="shared" si="29"/>
        <v>602503.10853198508</v>
      </c>
      <c r="Y194" s="90">
        <f t="shared" si="29"/>
        <v>650703.35721454385</v>
      </c>
      <c r="Z194" s="90">
        <f t="shared" si="29"/>
        <v>702759.62579170754</v>
      </c>
      <c r="AA194" s="90">
        <f t="shared" si="29"/>
        <v>758980.39585504436</v>
      </c>
      <c r="AB194" s="90">
        <f t="shared" si="29"/>
        <v>819698.82752344792</v>
      </c>
      <c r="AC194" s="90">
        <f t="shared" si="29"/>
        <v>885274.73372532369</v>
      </c>
      <c r="AD194" s="90">
        <f t="shared" si="29"/>
        <v>956096.71242334996</v>
      </c>
      <c r="AE194" s="90">
        <f t="shared" si="29"/>
        <v>1032584.4494172179</v>
      </c>
      <c r="AF194" s="90">
        <f t="shared" si="29"/>
        <v>1115191.2053705952</v>
      </c>
    </row>
    <row r="195" spans="1:32" x14ac:dyDescent="0.2">
      <c r="A195" s="84" t="s">
        <v>145</v>
      </c>
      <c r="B195" s="88"/>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c r="AB195" s="90"/>
      <c r="AC195" s="90"/>
      <c r="AD195" s="90"/>
      <c r="AE195" s="90"/>
      <c r="AF195" s="90"/>
    </row>
    <row r="196" spans="1:32" x14ac:dyDescent="0.2">
      <c r="A196" s="85" t="s">
        <v>146</v>
      </c>
      <c r="B196" s="88" t="s">
        <v>49</v>
      </c>
      <c r="C196" s="90"/>
      <c r="D196" s="90"/>
      <c r="E196" s="90"/>
      <c r="F196" s="90">
        <f>F167+F168</f>
        <v>18846.977243694546</v>
      </c>
      <c r="G196" s="90">
        <f t="shared" ref="G196:AF196" si="30">G167+G168</f>
        <v>24425.682507828136</v>
      </c>
      <c r="H196" s="90">
        <f t="shared" si="30"/>
        <v>30776.359959863443</v>
      </c>
      <c r="I196" s="90">
        <f t="shared" si="30"/>
        <v>37986.821436174316</v>
      </c>
      <c r="J196" s="90">
        <f t="shared" si="30"/>
        <v>41025.767151068263</v>
      </c>
      <c r="K196" s="90">
        <f t="shared" si="30"/>
        <v>44307.82852315373</v>
      </c>
      <c r="L196" s="90">
        <f t="shared" si="30"/>
        <v>47852.454805006033</v>
      </c>
      <c r="M196" s="90">
        <f t="shared" si="30"/>
        <v>51680.651189406519</v>
      </c>
      <c r="N196" s="90">
        <f t="shared" si="30"/>
        <v>55815.103284559053</v>
      </c>
      <c r="O196" s="90">
        <f t="shared" si="30"/>
        <v>60280.311547323763</v>
      </c>
      <c r="P196" s="90">
        <f t="shared" si="30"/>
        <v>65102.736471109674</v>
      </c>
      <c r="Q196" s="90">
        <f t="shared" si="30"/>
        <v>70310.955388798451</v>
      </c>
      <c r="R196" s="90">
        <f t="shared" si="30"/>
        <v>75935.831819902334</v>
      </c>
      <c r="S196" s="90">
        <f t="shared" si="30"/>
        <v>82010.698365494536</v>
      </c>
      <c r="T196" s="90">
        <f t="shared" si="30"/>
        <v>88571.554234734082</v>
      </c>
      <c r="U196" s="90">
        <f t="shared" si="30"/>
        <v>95657.278573512827</v>
      </c>
      <c r="V196" s="90">
        <f t="shared" si="30"/>
        <v>103309.86085939387</v>
      </c>
      <c r="W196" s="90">
        <f t="shared" si="30"/>
        <v>111574.64972814538</v>
      </c>
      <c r="X196" s="90">
        <f t="shared" si="30"/>
        <v>120500.62170639703</v>
      </c>
      <c r="Y196" s="90">
        <f t="shared" si="30"/>
        <v>130140.67144290876</v>
      </c>
      <c r="Z196" s="90">
        <f t="shared" si="30"/>
        <v>140551.9251583415</v>
      </c>
      <c r="AA196" s="90">
        <f t="shared" si="30"/>
        <v>151796.07917100887</v>
      </c>
      <c r="AB196" s="90">
        <f t="shared" si="30"/>
        <v>163939.7655046896</v>
      </c>
      <c r="AC196" s="90">
        <f t="shared" si="30"/>
        <v>177054.94674506475</v>
      </c>
      <c r="AD196" s="90">
        <f t="shared" si="30"/>
        <v>191219.34248466999</v>
      </c>
      <c r="AE196" s="90">
        <f t="shared" si="30"/>
        <v>206516.88988344357</v>
      </c>
      <c r="AF196" s="90">
        <f t="shared" si="30"/>
        <v>223038.24107411905</v>
      </c>
    </row>
    <row r="197" spans="1:32" x14ac:dyDescent="0.2">
      <c r="A197" s="85" t="s">
        <v>128</v>
      </c>
      <c r="B197" s="88" t="s">
        <v>49</v>
      </c>
      <c r="C197" s="90"/>
      <c r="D197" s="90"/>
      <c r="E197" s="90"/>
      <c r="F197" s="90">
        <f>F173</f>
        <v>29551.963345775268</v>
      </c>
      <c r="G197" s="90">
        <f>G173</f>
        <v>40709.373874042445</v>
      </c>
      <c r="H197" s="90">
        <f>H173</f>
        <v>53410.728778113058</v>
      </c>
      <c r="I197" s="90">
        <f>I173</f>
        <v>75973.642872348631</v>
      </c>
      <c r="J197" s="90">
        <f>J173</f>
        <v>82051.534302136526</v>
      </c>
      <c r="K197" s="90">
        <f>K173</f>
        <v>88615.65704630746</v>
      </c>
      <c r="L197" s="90">
        <f>L173</f>
        <v>95704.909610012051</v>
      </c>
      <c r="M197" s="90">
        <f>M173</f>
        <v>103361.30237881305</v>
      </c>
      <c r="N197" s="90">
        <f>N173</f>
        <v>111630.20656911811</v>
      </c>
      <c r="O197" s="90">
        <f>O173</f>
        <v>120560.62309464751</v>
      </c>
      <c r="P197" s="90">
        <f>P173</f>
        <v>130205.47294221935</v>
      </c>
      <c r="Q197" s="90">
        <f>Q173</f>
        <v>140621.9107775969</v>
      </c>
      <c r="R197" s="90">
        <f>R173</f>
        <v>151871.66363980467</v>
      </c>
      <c r="S197" s="90">
        <f>S173</f>
        <v>164021.39673098907</v>
      </c>
      <c r="T197" s="90">
        <f>T173</f>
        <v>177143.10846946816</v>
      </c>
      <c r="U197" s="90">
        <f>U173</f>
        <v>191314.55714702565</v>
      </c>
      <c r="V197" s="90">
        <f>V173</f>
        <v>206619.72171878774</v>
      </c>
      <c r="W197" s="90">
        <f>W173</f>
        <v>223149.29945629076</v>
      </c>
      <c r="X197" s="90">
        <f>X173</f>
        <v>241001.24341279402</v>
      </c>
      <c r="Y197" s="90">
        <f>Y173</f>
        <v>260281.34288581755</v>
      </c>
      <c r="Z197" s="90">
        <f>Z173</f>
        <v>281103.85031668301</v>
      </c>
      <c r="AA197" s="90">
        <f>AA173</f>
        <v>303592.15834201773</v>
      </c>
      <c r="AB197" s="90">
        <f>AB173</f>
        <v>327879.53100937919</v>
      </c>
      <c r="AC197" s="90">
        <f>AC173</f>
        <v>354109.8934901295</v>
      </c>
      <c r="AD197" s="90">
        <f>AD173</f>
        <v>382438.68496933999</v>
      </c>
      <c r="AE197" s="90">
        <f>AE173</f>
        <v>413033.77976688714</v>
      </c>
      <c r="AF197" s="90">
        <f>AF173</f>
        <v>446076.48214823811</v>
      </c>
    </row>
    <row r="198" spans="1:32" x14ac:dyDescent="0.2">
      <c r="A198" s="85" t="s">
        <v>129</v>
      </c>
      <c r="B198" s="88" t="s">
        <v>49</v>
      </c>
      <c r="C198" s="90"/>
      <c r="D198" s="90"/>
      <c r="E198" s="90"/>
      <c r="F198" s="90">
        <f>F174</f>
        <v>2955.1963345775271</v>
      </c>
      <c r="G198" s="90">
        <f>G174</f>
        <v>4070.9373874042449</v>
      </c>
      <c r="H198" s="90">
        <f>H174</f>
        <v>5341.0728778113062</v>
      </c>
      <c r="I198" s="90">
        <f>I174</f>
        <v>7597.3642872348637</v>
      </c>
      <c r="J198" s="90">
        <f>J174</f>
        <v>8205.1534302136533</v>
      </c>
      <c r="K198" s="90">
        <f>K174</f>
        <v>8861.565704630746</v>
      </c>
      <c r="L198" s="90">
        <f>L174</f>
        <v>9570.4909610012055</v>
      </c>
      <c r="M198" s="90">
        <f>M174</f>
        <v>10336.130237881305</v>
      </c>
      <c r="N198" s="90">
        <f>N174</f>
        <v>11163.020656911811</v>
      </c>
      <c r="O198" s="90">
        <f>O174</f>
        <v>12056.062309464753</v>
      </c>
      <c r="P198" s="90">
        <f>P174</f>
        <v>13020.547294221935</v>
      </c>
      <c r="Q198" s="90">
        <f>Q174</f>
        <v>14062.191077759691</v>
      </c>
      <c r="R198" s="90">
        <f>R174</f>
        <v>15187.166363980468</v>
      </c>
      <c r="S198" s="90">
        <f>S174</f>
        <v>16402.139673098907</v>
      </c>
      <c r="T198" s="90">
        <f>T174</f>
        <v>17714.310846946817</v>
      </c>
      <c r="U198" s="90">
        <f>U174</f>
        <v>19131.455714702566</v>
      </c>
      <c r="V198" s="90">
        <f>V174</f>
        <v>20661.972171878777</v>
      </c>
      <c r="W198" s="90">
        <f>W174</f>
        <v>22314.929945629076</v>
      </c>
      <c r="X198" s="90">
        <f>X174</f>
        <v>24100.124341279403</v>
      </c>
      <c r="Y198" s="90">
        <f>Y174</f>
        <v>26028.134288581758</v>
      </c>
      <c r="Z198" s="90">
        <f>Z174</f>
        <v>28110.385031668302</v>
      </c>
      <c r="AA198" s="90">
        <f>AA174</f>
        <v>30359.215834201776</v>
      </c>
      <c r="AB198" s="90">
        <f>AB174</f>
        <v>32787.953100937921</v>
      </c>
      <c r="AC198" s="90">
        <f>AC174</f>
        <v>35410.989349012954</v>
      </c>
      <c r="AD198" s="90">
        <f>AD174</f>
        <v>38243.868496934003</v>
      </c>
      <c r="AE198" s="90">
        <f>AE174</f>
        <v>41303.377976688716</v>
      </c>
      <c r="AF198" s="90">
        <f>AF174</f>
        <v>44607.648214823814</v>
      </c>
    </row>
    <row r="199" spans="1:32" x14ac:dyDescent="0.2">
      <c r="A199" s="85" t="s">
        <v>130</v>
      </c>
      <c r="B199" s="88" t="s">
        <v>49</v>
      </c>
      <c r="C199" s="90"/>
      <c r="D199" s="90"/>
      <c r="E199" s="90"/>
      <c r="F199" s="90">
        <f>F175</f>
        <v>5038.8480000000009</v>
      </c>
      <c r="G199" s="90">
        <f>G175</f>
        <v>5441.9558400000014</v>
      </c>
      <c r="H199" s="90">
        <f>H175</f>
        <v>5877.3123072000017</v>
      </c>
      <c r="I199" s="90">
        <f>I175</f>
        <v>6347.4972917760024</v>
      </c>
      <c r="J199" s="90">
        <f>J175</f>
        <v>6855.2970751180828</v>
      </c>
      <c r="K199" s="90">
        <f>K175</f>
        <v>7403.7208411275305</v>
      </c>
      <c r="L199" s="90">
        <f>L175</f>
        <v>7996.0185084177328</v>
      </c>
      <c r="M199" s="90">
        <f>M175</f>
        <v>8635.699989091152</v>
      </c>
      <c r="N199" s="90">
        <f>N175</f>
        <v>9326.5559882184443</v>
      </c>
      <c r="O199" s="90">
        <f>O175</f>
        <v>10072.680467275921</v>
      </c>
      <c r="P199" s="90">
        <f>P175</f>
        <v>10878.494904657997</v>
      </c>
      <c r="Q199" s="90">
        <f>Q175</f>
        <v>11748.774497030636</v>
      </c>
      <c r="R199" s="90">
        <f>R175</f>
        <v>12688.676456793088</v>
      </c>
      <c r="S199" s="90">
        <f>S175</f>
        <v>13703.770573336536</v>
      </c>
      <c r="T199" s="90">
        <f>T175</f>
        <v>14800.072219203459</v>
      </c>
      <c r="U199" s="90">
        <f>U175</f>
        <v>15984.077996739738</v>
      </c>
      <c r="V199" s="90">
        <f>V175</f>
        <v>17262.804236478918</v>
      </c>
      <c r="W199" s="90">
        <f>W175</f>
        <v>18643.828575397234</v>
      </c>
      <c r="X199" s="90">
        <f>X175</f>
        <v>20135.334861429012</v>
      </c>
      <c r="Y199" s="90">
        <f>Y175</f>
        <v>21746.161650343336</v>
      </c>
      <c r="Z199" s="90">
        <f>Z175</f>
        <v>23485.854582370805</v>
      </c>
      <c r="AA199" s="90">
        <f>AA175</f>
        <v>25364.722948960472</v>
      </c>
      <c r="AB199" s="90">
        <f>AB175</f>
        <v>27393.900784877314</v>
      </c>
      <c r="AC199" s="90">
        <f>AC175</f>
        <v>29585.412847667503</v>
      </c>
      <c r="AD199" s="90">
        <f>AD175</f>
        <v>31952.245875480905</v>
      </c>
      <c r="AE199" s="90">
        <f>AE175</f>
        <v>34508.425545519378</v>
      </c>
      <c r="AF199" s="90">
        <f>AF175</f>
        <v>37269.099589160927</v>
      </c>
    </row>
    <row r="200" spans="1:32" x14ac:dyDescent="0.2">
      <c r="A200" s="85" t="s">
        <v>147</v>
      </c>
      <c r="B200" s="88" t="s">
        <v>49</v>
      </c>
      <c r="C200" s="90"/>
      <c r="D200" s="90"/>
      <c r="E200" s="90"/>
      <c r="F200" s="90">
        <f>F189</f>
        <v>0</v>
      </c>
      <c r="G200" s="90">
        <f t="shared" ref="G200:AF200" si="31">G189</f>
        <v>0</v>
      </c>
      <c r="H200" s="90">
        <f t="shared" si="31"/>
        <v>0</v>
      </c>
      <c r="I200" s="90">
        <f t="shared" si="31"/>
        <v>0</v>
      </c>
      <c r="J200" s="90">
        <f t="shared" si="31"/>
        <v>0</v>
      </c>
      <c r="K200" s="90">
        <f t="shared" si="31"/>
        <v>0</v>
      </c>
      <c r="L200" s="90">
        <f t="shared" si="31"/>
        <v>0</v>
      </c>
      <c r="M200" s="90">
        <f t="shared" si="31"/>
        <v>0</v>
      </c>
      <c r="N200" s="90">
        <f t="shared" si="31"/>
        <v>948.60051186457895</v>
      </c>
      <c r="O200" s="90">
        <f t="shared" si="31"/>
        <v>15011.848555863075</v>
      </c>
      <c r="P200" s="90">
        <f t="shared" si="31"/>
        <v>18007.399847957378</v>
      </c>
      <c r="Q200" s="90">
        <f t="shared" si="31"/>
        <v>21160.442148560323</v>
      </c>
      <c r="R200" s="90">
        <f t="shared" si="31"/>
        <v>24483.574738352614</v>
      </c>
      <c r="S200" s="90">
        <f t="shared" si="31"/>
        <v>27990.404840469415</v>
      </c>
      <c r="T200" s="90">
        <f t="shared" si="31"/>
        <v>31695.628255896627</v>
      </c>
      <c r="U200" s="90">
        <f t="shared" si="31"/>
        <v>34588.202763962989</v>
      </c>
      <c r="V200" s="90">
        <f t="shared" si="31"/>
        <v>37712.183232674659</v>
      </c>
      <c r="W200" s="90">
        <f t="shared" si="31"/>
        <v>41086.082138883263</v>
      </c>
      <c r="X200" s="90">
        <f t="shared" si="31"/>
        <v>44729.892957588563</v>
      </c>
      <c r="Y200" s="90">
        <f t="shared" si="31"/>
        <v>48665.208641790268</v>
      </c>
      <c r="Z200" s="90">
        <f t="shared" si="31"/>
        <v>52915.349580728151</v>
      </c>
      <c r="AA200" s="90">
        <f t="shared" si="31"/>
        <v>57505.501794781034</v>
      </c>
      <c r="AB200" s="90">
        <f t="shared" si="31"/>
        <v>62462.866185958141</v>
      </c>
      <c r="AC200" s="90">
        <f t="shared" si="31"/>
        <v>67816.8197284294</v>
      </c>
      <c r="AD200" s="90">
        <f t="shared" si="31"/>
        <v>73599.089554298436</v>
      </c>
      <c r="AE200" s="90">
        <f t="shared" si="31"/>
        <v>84305.494061169768</v>
      </c>
      <c r="AF200" s="90">
        <f t="shared" si="31"/>
        <v>91049.933586063329</v>
      </c>
    </row>
    <row r="201" spans="1:32" s="5" customFormat="1" x14ac:dyDescent="0.2">
      <c r="A201" s="87" t="s">
        <v>148</v>
      </c>
      <c r="B201" s="92" t="s">
        <v>49</v>
      </c>
      <c r="C201" s="91"/>
      <c r="D201" s="91"/>
      <c r="E201" s="91"/>
      <c r="F201" s="91">
        <f>F194-SUM(F196:F200)</f>
        <v>37841.901294425392</v>
      </c>
      <c r="G201" s="91">
        <f t="shared" ref="G201:AF201" si="32">G194-SUM(G196:G200)</f>
        <v>47480.46292986584</v>
      </c>
      <c r="H201" s="91">
        <f t="shared" si="32"/>
        <v>58476.325876329385</v>
      </c>
      <c r="I201" s="91">
        <f t="shared" si="32"/>
        <v>62028.781293337786</v>
      </c>
      <c r="J201" s="91">
        <f t="shared" si="32"/>
        <v>66991.083796804771</v>
      </c>
      <c r="K201" s="91">
        <f t="shared" si="32"/>
        <v>72350.370500549179</v>
      </c>
      <c r="L201" s="91">
        <f t="shared" si="32"/>
        <v>78138.400140593119</v>
      </c>
      <c r="M201" s="91">
        <f t="shared" si="32"/>
        <v>84389.47215184063</v>
      </c>
      <c r="N201" s="91">
        <f t="shared" si="32"/>
        <v>90192.029412123258</v>
      </c>
      <c r="O201" s="91">
        <f t="shared" si="32"/>
        <v>83420.031762043742</v>
      </c>
      <c r="P201" s="91">
        <f t="shared" si="32"/>
        <v>88299.030895382049</v>
      </c>
      <c r="Q201" s="91">
        <f t="shared" si="32"/>
        <v>93650.503054246248</v>
      </c>
      <c r="R201" s="91">
        <f t="shared" si="32"/>
        <v>99512.246080678538</v>
      </c>
      <c r="S201" s="91">
        <f t="shared" si="32"/>
        <v>105925.08164408425</v>
      </c>
      <c r="T201" s="91">
        <f t="shared" si="32"/>
        <v>112933.09714742127</v>
      </c>
      <c r="U201" s="91">
        <f t="shared" si="32"/>
        <v>121610.82067162037</v>
      </c>
      <c r="V201" s="91">
        <f t="shared" si="32"/>
        <v>130982.76207775529</v>
      </c>
      <c r="W201" s="91">
        <f t="shared" si="32"/>
        <v>141104.45879638119</v>
      </c>
      <c r="X201" s="91">
        <f t="shared" si="32"/>
        <v>152035.89125249709</v>
      </c>
      <c r="Y201" s="91">
        <f t="shared" si="32"/>
        <v>163841.83830510214</v>
      </c>
      <c r="Z201" s="91">
        <f t="shared" si="32"/>
        <v>176592.26112191589</v>
      </c>
      <c r="AA201" s="91">
        <f t="shared" si="32"/>
        <v>190362.71776407445</v>
      </c>
      <c r="AB201" s="91">
        <f t="shared" si="32"/>
        <v>205234.81093760568</v>
      </c>
      <c r="AC201" s="91">
        <f t="shared" si="32"/>
        <v>221296.67156501964</v>
      </c>
      <c r="AD201" s="91">
        <f t="shared" si="32"/>
        <v>238643.48104262666</v>
      </c>
      <c r="AE201" s="91">
        <f t="shared" si="32"/>
        <v>252916.48218350939</v>
      </c>
      <c r="AF201" s="91">
        <f t="shared" si="32"/>
        <v>273149.80075818999</v>
      </c>
    </row>
    <row r="202" spans="1:32" x14ac:dyDescent="0.2">
      <c r="A202" s="86" t="s">
        <v>52</v>
      </c>
      <c r="B202" s="88" t="s">
        <v>49</v>
      </c>
      <c r="C202" s="90">
        <f>C130</f>
        <v>157897.58095583998</v>
      </c>
      <c r="D202" s="90">
        <f>D130</f>
        <v>228215.36928009606</v>
      </c>
      <c r="E202" s="90">
        <f>E130</f>
        <v>139804.82921182696</v>
      </c>
      <c r="F202" s="90"/>
      <c r="G202" s="90"/>
      <c r="H202" s="90"/>
      <c r="I202" s="90"/>
      <c r="J202" s="90"/>
      <c r="K202" s="90"/>
      <c r="L202" s="90"/>
      <c r="M202" s="90"/>
      <c r="N202" s="90"/>
      <c r="O202" s="90"/>
      <c r="P202" s="90"/>
      <c r="Q202" s="90"/>
      <c r="R202" s="90"/>
      <c r="S202" s="90"/>
      <c r="T202" s="90"/>
      <c r="U202" s="90"/>
      <c r="V202" s="90"/>
      <c r="W202" s="90"/>
      <c r="X202" s="90"/>
      <c r="Y202" s="90"/>
      <c r="Z202" s="90"/>
      <c r="AA202" s="90"/>
      <c r="AB202" s="90"/>
      <c r="AC202" s="90"/>
      <c r="AD202" s="90"/>
      <c r="AE202" s="90"/>
      <c r="AF202" s="90"/>
    </row>
    <row r="203" spans="1:32" s="5" customFormat="1" x14ac:dyDescent="0.2">
      <c r="A203" s="87" t="s">
        <v>149</v>
      </c>
      <c r="B203" s="88" t="s">
        <v>49</v>
      </c>
      <c r="C203" s="91">
        <f>C201-C202</f>
        <v>-157897.58095583998</v>
      </c>
      <c r="D203" s="91">
        <f t="shared" ref="D203:AF203" si="33">D201-D202</f>
        <v>-228215.36928009606</v>
      </c>
      <c r="E203" s="91">
        <f t="shared" si="33"/>
        <v>-139804.82921182696</v>
      </c>
      <c r="F203" s="91">
        <f>F201-F202</f>
        <v>37841.901294425392</v>
      </c>
      <c r="G203" s="91">
        <f t="shared" si="33"/>
        <v>47480.46292986584</v>
      </c>
      <c r="H203" s="91">
        <f t="shared" si="33"/>
        <v>58476.325876329385</v>
      </c>
      <c r="I203" s="91">
        <f t="shared" si="33"/>
        <v>62028.781293337786</v>
      </c>
      <c r="J203" s="91">
        <f t="shared" si="33"/>
        <v>66991.083796804771</v>
      </c>
      <c r="K203" s="91">
        <f t="shared" si="33"/>
        <v>72350.370500549179</v>
      </c>
      <c r="L203" s="91">
        <f t="shared" si="33"/>
        <v>78138.400140593119</v>
      </c>
      <c r="M203" s="91">
        <f t="shared" si="33"/>
        <v>84389.47215184063</v>
      </c>
      <c r="N203" s="91">
        <f t="shared" si="33"/>
        <v>90192.029412123258</v>
      </c>
      <c r="O203" s="91">
        <f t="shared" si="33"/>
        <v>83420.031762043742</v>
      </c>
      <c r="P203" s="91">
        <f t="shared" si="33"/>
        <v>88299.030895382049</v>
      </c>
      <c r="Q203" s="91">
        <f t="shared" si="33"/>
        <v>93650.503054246248</v>
      </c>
      <c r="R203" s="91">
        <f t="shared" si="33"/>
        <v>99512.246080678538</v>
      </c>
      <c r="S203" s="91">
        <f t="shared" si="33"/>
        <v>105925.08164408425</v>
      </c>
      <c r="T203" s="91">
        <f t="shared" si="33"/>
        <v>112933.09714742127</v>
      </c>
      <c r="U203" s="91">
        <f t="shared" si="33"/>
        <v>121610.82067162037</v>
      </c>
      <c r="V203" s="91">
        <f t="shared" si="33"/>
        <v>130982.76207775529</v>
      </c>
      <c r="W203" s="91">
        <f t="shared" si="33"/>
        <v>141104.45879638119</v>
      </c>
      <c r="X203" s="91">
        <f t="shared" si="33"/>
        <v>152035.89125249709</v>
      </c>
      <c r="Y203" s="91">
        <f t="shared" si="33"/>
        <v>163841.83830510214</v>
      </c>
      <c r="Z203" s="91">
        <f t="shared" si="33"/>
        <v>176592.26112191589</v>
      </c>
      <c r="AA203" s="91">
        <f t="shared" si="33"/>
        <v>190362.71776407445</v>
      </c>
      <c r="AB203" s="91">
        <f t="shared" si="33"/>
        <v>205234.81093760568</v>
      </c>
      <c r="AC203" s="91">
        <f t="shared" si="33"/>
        <v>221296.67156501964</v>
      </c>
      <c r="AD203" s="91">
        <f t="shared" si="33"/>
        <v>238643.48104262666</v>
      </c>
      <c r="AE203" s="91">
        <f t="shared" si="33"/>
        <v>252916.48218350939</v>
      </c>
      <c r="AF203" s="91">
        <f t="shared" si="33"/>
        <v>273149.80075818999</v>
      </c>
    </row>
    <row r="204" spans="1:32" x14ac:dyDescent="0.2">
      <c r="A204" s="1"/>
      <c r="B204" s="1"/>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row>
    <row r="205" spans="1:32" s="5" customFormat="1" x14ac:dyDescent="0.2">
      <c r="A205" s="87" t="s">
        <v>150</v>
      </c>
      <c r="B205" s="92" t="s">
        <v>49</v>
      </c>
      <c r="C205" s="91">
        <f>C203+C145</f>
        <v>-126318.06476467199</v>
      </c>
      <c r="D205" s="91">
        <f>D203+D145</f>
        <v>-68464.610784028831</v>
      </c>
      <c r="E205" s="91">
        <f>E203+E145</f>
        <v>0</v>
      </c>
      <c r="F205" s="91">
        <f>F203+F145</f>
        <v>-3234.6461350208847</v>
      </c>
      <c r="G205" s="91">
        <f>G203+G145</f>
        <v>6403.9155004195636</v>
      </c>
      <c r="H205" s="91">
        <f>H203+H145</f>
        <v>17399.778446883109</v>
      </c>
      <c r="I205" s="91">
        <f>I203+I145</f>
        <v>20952.23386389151</v>
      </c>
      <c r="J205" s="91">
        <f>J203+J145</f>
        <v>-9804.2005278121796</v>
      </c>
      <c r="K205" s="91">
        <f>K203+K145</f>
        <v>-337.25908112313482</v>
      </c>
      <c r="L205" s="91">
        <f>L203+L145</f>
        <v>9558.4253018654272</v>
      </c>
      <c r="M205" s="91">
        <f>M203+M145</f>
        <v>19917.152056057559</v>
      </c>
      <c r="N205" s="91">
        <f>N203+N145</f>
        <v>29827.364059284817</v>
      </c>
      <c r="O205" s="91">
        <f>O203+O145</f>
        <v>27163.02115214993</v>
      </c>
      <c r="P205" s="91">
        <f>P203+P145</f>
        <v>36149.675028432866</v>
      </c>
      <c r="Q205" s="91">
        <f>Q203+Q145</f>
        <v>45608.801930241694</v>
      </c>
      <c r="R205" s="91">
        <f>R203+R145</f>
        <v>55578.199699618606</v>
      </c>
      <c r="S205" s="91">
        <f>S203+S145</f>
        <v>66098.690005968936</v>
      </c>
      <c r="T205" s="91">
        <f>T203+T145</f>
        <v>112933.09714742127</v>
      </c>
      <c r="U205" s="91">
        <f>U203+U145</f>
        <v>121610.82067162037</v>
      </c>
      <c r="V205" s="91">
        <f>V203+V145</f>
        <v>130982.76207775529</v>
      </c>
      <c r="W205" s="91">
        <f>W203+W145</f>
        <v>141104.45879638119</v>
      </c>
      <c r="X205" s="91">
        <f>X203+X145</f>
        <v>152035.89125249709</v>
      </c>
      <c r="Y205" s="91">
        <f>Y203+Y145</f>
        <v>163841.83830510214</v>
      </c>
      <c r="Z205" s="91">
        <f>Z203+Z145</f>
        <v>176592.26112191589</v>
      </c>
      <c r="AA205" s="91">
        <f>AA203+AA145</f>
        <v>190362.71776407445</v>
      </c>
      <c r="AB205" s="91">
        <f>AB203+AB145</f>
        <v>205234.81093760568</v>
      </c>
      <c r="AC205" s="91">
        <f>AC203+AC145</f>
        <v>221296.67156501964</v>
      </c>
      <c r="AD205" s="91">
        <f>AD203+AD145</f>
        <v>238643.48104262666</v>
      </c>
      <c r="AE205" s="91">
        <f>AE203+AE145</f>
        <v>252916.48218350939</v>
      </c>
      <c r="AF205" s="91">
        <f>AF203+AF145</f>
        <v>273149.80075818999</v>
      </c>
    </row>
    <row r="206" spans="1:32" x14ac:dyDescent="0.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row>
    <row r="207" spans="1:32" x14ac:dyDescent="0.2">
      <c r="A207" s="107" t="s">
        <v>160</v>
      </c>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row>
    <row r="208" spans="1:32" x14ac:dyDescent="0.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row>
    <row r="209" spans="1:32" x14ac:dyDescent="0.2">
      <c r="A209" s="120" t="s">
        <v>152</v>
      </c>
      <c r="B209" s="122"/>
      <c r="C209" s="123">
        <f>C144</f>
        <v>31579.516191167997</v>
      </c>
      <c r="D209" s="123">
        <f>D144</f>
        <v>194961.91904921955</v>
      </c>
      <c r="E209" s="123">
        <f>E144</f>
        <v>357187.36895170674</v>
      </c>
      <c r="F209" s="123">
        <f>F144</f>
        <v>357187.36895170674</v>
      </c>
      <c r="G209" s="123">
        <f>G144</f>
        <v>357187.36895170674</v>
      </c>
      <c r="H209" s="123">
        <f>H144</f>
        <v>357187.36895170674</v>
      </c>
      <c r="I209" s="123">
        <f>I144</f>
        <v>357187.36895170674</v>
      </c>
      <c r="J209" s="123">
        <f>J144</f>
        <v>321468.63205653604</v>
      </c>
      <c r="K209" s="123">
        <f>K144</f>
        <v>285749.89516136539</v>
      </c>
      <c r="L209" s="123">
        <f>L144</f>
        <v>250031.15826619472</v>
      </c>
      <c r="M209" s="123">
        <f>M144</f>
        <v>214312.42137102404</v>
      </c>
      <c r="N209" s="123">
        <f>N144</f>
        <v>178593.68447585337</v>
      </c>
      <c r="O209" s="123">
        <f>O144</f>
        <v>142874.9475806827</v>
      </c>
      <c r="P209" s="123">
        <f>P144</f>
        <v>107156.21068551202</v>
      </c>
      <c r="Q209" s="123">
        <f>Q144</f>
        <v>71437.473790341348</v>
      </c>
      <c r="R209" s="123">
        <f>R144</f>
        <v>35718.736895170674</v>
      </c>
      <c r="S209" s="123">
        <f>S144</f>
        <v>0</v>
      </c>
      <c r="T209" s="123">
        <f>T144</f>
        <v>0</v>
      </c>
      <c r="U209" s="123">
        <f>U144</f>
        <v>0</v>
      </c>
      <c r="V209" s="123">
        <f>V144</f>
        <v>0</v>
      </c>
      <c r="W209" s="123">
        <f>W144</f>
        <v>0</v>
      </c>
      <c r="X209" s="123">
        <f>X144</f>
        <v>0</v>
      </c>
      <c r="Y209" s="123">
        <f>Y144</f>
        <v>0</v>
      </c>
      <c r="Z209" s="123">
        <f>Z144</f>
        <v>0</v>
      </c>
      <c r="AA209" s="123">
        <f>AA144</f>
        <v>0</v>
      </c>
      <c r="AB209" s="123">
        <f>AB144</f>
        <v>0</v>
      </c>
      <c r="AC209" s="123">
        <f>AC144</f>
        <v>0</v>
      </c>
      <c r="AD209" s="123">
        <f>AD144</f>
        <v>0</v>
      </c>
      <c r="AE209" s="123">
        <f>AE144</f>
        <v>0</v>
      </c>
      <c r="AF209" s="123">
        <f>AF144</f>
        <v>0</v>
      </c>
    </row>
    <row r="210" spans="1:32" x14ac:dyDescent="0.2">
      <c r="A210" s="120" t="s">
        <v>153</v>
      </c>
      <c r="B210" s="122"/>
      <c r="C210" s="123">
        <f>-$C$205</f>
        <v>126318.06476467199</v>
      </c>
      <c r="D210" s="123">
        <f t="shared" ref="D210:AF210" si="34">-$C$205</f>
        <v>126318.06476467199</v>
      </c>
      <c r="E210" s="123">
        <f t="shared" si="34"/>
        <v>126318.06476467199</v>
      </c>
      <c r="F210" s="123">
        <f t="shared" si="34"/>
        <v>126318.06476467199</v>
      </c>
      <c r="G210" s="123">
        <f t="shared" si="34"/>
        <v>126318.06476467199</v>
      </c>
      <c r="H210" s="123">
        <f t="shared" si="34"/>
        <v>126318.06476467199</v>
      </c>
      <c r="I210" s="123">
        <f t="shared" si="34"/>
        <v>126318.06476467199</v>
      </c>
      <c r="J210" s="123">
        <f t="shared" si="34"/>
        <v>126318.06476467199</v>
      </c>
      <c r="K210" s="123">
        <f t="shared" si="34"/>
        <v>126318.06476467199</v>
      </c>
      <c r="L210" s="123">
        <f t="shared" si="34"/>
        <v>126318.06476467199</v>
      </c>
      <c r="M210" s="123">
        <f t="shared" si="34"/>
        <v>126318.06476467199</v>
      </c>
      <c r="N210" s="123">
        <f t="shared" si="34"/>
        <v>126318.06476467199</v>
      </c>
      <c r="O210" s="123">
        <f t="shared" si="34"/>
        <v>126318.06476467199</v>
      </c>
      <c r="P210" s="123">
        <f t="shared" si="34"/>
        <v>126318.06476467199</v>
      </c>
      <c r="Q210" s="123">
        <f t="shared" si="34"/>
        <v>126318.06476467199</v>
      </c>
      <c r="R210" s="123">
        <f t="shared" si="34"/>
        <v>126318.06476467199</v>
      </c>
      <c r="S210" s="123">
        <f t="shared" si="34"/>
        <v>126318.06476467199</v>
      </c>
      <c r="T210" s="123">
        <f t="shared" si="34"/>
        <v>126318.06476467199</v>
      </c>
      <c r="U210" s="123">
        <f t="shared" si="34"/>
        <v>126318.06476467199</v>
      </c>
      <c r="V210" s="123">
        <f t="shared" si="34"/>
        <v>126318.06476467199</v>
      </c>
      <c r="W210" s="123">
        <f t="shared" si="34"/>
        <v>126318.06476467199</v>
      </c>
      <c r="X210" s="123">
        <f t="shared" si="34"/>
        <v>126318.06476467199</v>
      </c>
      <c r="Y210" s="123">
        <f t="shared" si="34"/>
        <v>126318.06476467199</v>
      </c>
      <c r="Z210" s="123">
        <f t="shared" si="34"/>
        <v>126318.06476467199</v>
      </c>
      <c r="AA210" s="123">
        <f t="shared" si="34"/>
        <v>126318.06476467199</v>
      </c>
      <c r="AB210" s="123">
        <f t="shared" si="34"/>
        <v>126318.06476467199</v>
      </c>
      <c r="AC210" s="123">
        <f t="shared" si="34"/>
        <v>126318.06476467199</v>
      </c>
      <c r="AD210" s="123">
        <f t="shared" si="34"/>
        <v>126318.06476467199</v>
      </c>
      <c r="AE210" s="123">
        <f t="shared" si="34"/>
        <v>126318.06476467199</v>
      </c>
      <c r="AF210" s="123">
        <f t="shared" si="34"/>
        <v>126318.06476467199</v>
      </c>
    </row>
    <row r="211" spans="1:32" x14ac:dyDescent="0.2">
      <c r="A211" s="120" t="s">
        <v>154</v>
      </c>
      <c r="B211" s="122"/>
      <c r="C211" s="123">
        <f>C209/(C209+C210)</f>
        <v>0.2</v>
      </c>
      <c r="D211" s="123">
        <f t="shared" ref="D211:AF211" si="35">D209/(D209+D210)</f>
        <v>0.60682871287168483</v>
      </c>
      <c r="E211" s="123">
        <f t="shared" si="35"/>
        <v>0.73874530469337107</v>
      </c>
      <c r="F211" s="123">
        <f t="shared" si="35"/>
        <v>0.73874530469337107</v>
      </c>
      <c r="G211" s="123">
        <f t="shared" si="35"/>
        <v>0.73874530469337107</v>
      </c>
      <c r="H211" s="123">
        <f t="shared" si="35"/>
        <v>0.73874530469337107</v>
      </c>
      <c r="I211" s="123">
        <f t="shared" si="35"/>
        <v>0.73874530469337107</v>
      </c>
      <c r="J211" s="123">
        <f t="shared" si="35"/>
        <v>0.71790572238659389</v>
      </c>
      <c r="K211" s="123">
        <f t="shared" si="35"/>
        <v>0.69345332069170107</v>
      </c>
      <c r="L211" s="123">
        <f t="shared" si="35"/>
        <v>0.66435943789815699</v>
      </c>
      <c r="M211" s="123">
        <f t="shared" si="35"/>
        <v>0.62916394772031348</v>
      </c>
      <c r="N211" s="123">
        <f t="shared" si="35"/>
        <v>0.58572254077022212</v>
      </c>
      <c r="O211" s="123">
        <f t="shared" si="35"/>
        <v>0.53075280942799785</v>
      </c>
      <c r="P211" s="123">
        <f t="shared" si="35"/>
        <v>0.45896367160319446</v>
      </c>
      <c r="Q211" s="123">
        <f t="shared" si="35"/>
        <v>0.36124133014089138</v>
      </c>
      <c r="R211" s="123">
        <f t="shared" si="35"/>
        <v>0.22043595361844762</v>
      </c>
      <c r="S211" s="123">
        <f t="shared" si="35"/>
        <v>0</v>
      </c>
      <c r="T211" s="123">
        <f t="shared" si="35"/>
        <v>0</v>
      </c>
      <c r="U211" s="123">
        <f t="shared" si="35"/>
        <v>0</v>
      </c>
      <c r="V211" s="123">
        <f t="shared" si="35"/>
        <v>0</v>
      </c>
      <c r="W211" s="123">
        <f t="shared" si="35"/>
        <v>0</v>
      </c>
      <c r="X211" s="123">
        <f t="shared" si="35"/>
        <v>0</v>
      </c>
      <c r="Y211" s="123">
        <f t="shared" si="35"/>
        <v>0</v>
      </c>
      <c r="Z211" s="123">
        <f t="shared" si="35"/>
        <v>0</v>
      </c>
      <c r="AA211" s="123">
        <f t="shared" si="35"/>
        <v>0</v>
      </c>
      <c r="AB211" s="123">
        <f t="shared" si="35"/>
        <v>0</v>
      </c>
      <c r="AC211" s="123">
        <f t="shared" si="35"/>
        <v>0</v>
      </c>
      <c r="AD211" s="123">
        <f t="shared" si="35"/>
        <v>0</v>
      </c>
      <c r="AE211" s="123">
        <f t="shared" si="35"/>
        <v>0</v>
      </c>
      <c r="AF211" s="123">
        <f t="shared" si="35"/>
        <v>0</v>
      </c>
    </row>
    <row r="212" spans="1:32" x14ac:dyDescent="0.2">
      <c r="A212" s="120" t="s">
        <v>155</v>
      </c>
      <c r="B212" s="122"/>
      <c r="C212" s="123">
        <f>C210/(C209+C210)</f>
        <v>0.8</v>
      </c>
      <c r="D212" s="123">
        <f t="shared" ref="D212:AF212" si="36">D210/(D209+D210)</f>
        <v>0.39317128712831512</v>
      </c>
      <c r="E212" s="123">
        <f t="shared" si="36"/>
        <v>0.26125469530662893</v>
      </c>
      <c r="F212" s="123">
        <f t="shared" si="36"/>
        <v>0.26125469530662893</v>
      </c>
      <c r="G212" s="123">
        <f t="shared" si="36"/>
        <v>0.26125469530662893</v>
      </c>
      <c r="H212" s="123">
        <f t="shared" si="36"/>
        <v>0.26125469530662893</v>
      </c>
      <c r="I212" s="123">
        <f t="shared" si="36"/>
        <v>0.26125469530662893</v>
      </c>
      <c r="J212" s="123">
        <f t="shared" si="36"/>
        <v>0.28209427761340616</v>
      </c>
      <c r="K212" s="123">
        <f t="shared" si="36"/>
        <v>0.30654667930829904</v>
      </c>
      <c r="L212" s="123">
        <f t="shared" si="36"/>
        <v>0.33564056210184301</v>
      </c>
      <c r="M212" s="123">
        <f t="shared" si="36"/>
        <v>0.37083605227968641</v>
      </c>
      <c r="N212" s="123">
        <f t="shared" si="36"/>
        <v>0.41427745922977782</v>
      </c>
      <c r="O212" s="123">
        <f t="shared" si="36"/>
        <v>0.46924719057200226</v>
      </c>
      <c r="P212" s="123">
        <f t="shared" si="36"/>
        <v>0.54103632839680549</v>
      </c>
      <c r="Q212" s="123">
        <f t="shared" si="36"/>
        <v>0.63875866985910856</v>
      </c>
      <c r="R212" s="123">
        <f t="shared" si="36"/>
        <v>0.77956404638155241</v>
      </c>
      <c r="S212" s="123">
        <f t="shared" si="36"/>
        <v>1</v>
      </c>
      <c r="T212" s="123">
        <f t="shared" si="36"/>
        <v>1</v>
      </c>
      <c r="U212" s="123">
        <f t="shared" si="36"/>
        <v>1</v>
      </c>
      <c r="V212" s="123">
        <f t="shared" si="36"/>
        <v>1</v>
      </c>
      <c r="W212" s="123">
        <f t="shared" si="36"/>
        <v>1</v>
      </c>
      <c r="X212" s="123">
        <f t="shared" si="36"/>
        <v>1</v>
      </c>
      <c r="Y212" s="123">
        <f t="shared" si="36"/>
        <v>1</v>
      </c>
      <c r="Z212" s="123">
        <f t="shared" si="36"/>
        <v>1</v>
      </c>
      <c r="AA212" s="123">
        <f t="shared" si="36"/>
        <v>1</v>
      </c>
      <c r="AB212" s="123">
        <f t="shared" si="36"/>
        <v>1</v>
      </c>
      <c r="AC212" s="123">
        <f t="shared" si="36"/>
        <v>1</v>
      </c>
      <c r="AD212" s="123">
        <f t="shared" si="36"/>
        <v>1</v>
      </c>
      <c r="AE212" s="123">
        <f t="shared" si="36"/>
        <v>1</v>
      </c>
      <c r="AF212" s="123">
        <f t="shared" si="36"/>
        <v>1</v>
      </c>
    </row>
    <row r="213" spans="1:32" x14ac:dyDescent="0.2">
      <c r="A213" s="120" t="s">
        <v>156</v>
      </c>
      <c r="B213" s="122"/>
      <c r="C213" s="123">
        <f>C211*$C$58+C212*$C$90</f>
        <v>0.19068000000000018</v>
      </c>
      <c r="D213" s="123">
        <f t="shared" ref="D213:AF213" si="37">D211*$C$58+D212*$C$90</f>
        <v>0.15219400376233871</v>
      </c>
      <c r="E213" s="123">
        <f t="shared" si="37"/>
        <v>0.13971469417600715</v>
      </c>
      <c r="F213" s="123">
        <f t="shared" si="37"/>
        <v>0.13971469417600715</v>
      </c>
      <c r="G213" s="123">
        <f t="shared" si="37"/>
        <v>0.13971469417600715</v>
      </c>
      <c r="H213" s="123">
        <f>H211*$C$58+H212*$C$90</f>
        <v>0.13971469417600715</v>
      </c>
      <c r="I213" s="123">
        <f t="shared" si="37"/>
        <v>0.13971469417600715</v>
      </c>
      <c r="J213" s="123">
        <f t="shared" si="37"/>
        <v>0.1416861186622283</v>
      </c>
      <c r="K213" s="123">
        <f t="shared" si="37"/>
        <v>0.14399931586256517</v>
      </c>
      <c r="L213" s="123">
        <f t="shared" si="37"/>
        <v>0.14675159717483444</v>
      </c>
      <c r="M213" s="123">
        <f t="shared" si="37"/>
        <v>0.15008109054565844</v>
      </c>
      <c r="N213" s="123">
        <f t="shared" si="37"/>
        <v>0.15419064764313709</v>
      </c>
      <c r="O213" s="123">
        <f t="shared" si="37"/>
        <v>0.15939078422811154</v>
      </c>
      <c r="P213" s="123">
        <f t="shared" si="37"/>
        <v>0.16618203666633791</v>
      </c>
      <c r="Q213" s="123">
        <f t="shared" si="37"/>
        <v>0.1754265701686718</v>
      </c>
      <c r="R213" s="123">
        <f t="shared" si="37"/>
        <v>0.18874675878769506</v>
      </c>
      <c r="S213" s="123">
        <f t="shared" si="37"/>
        <v>0.20960000000000023</v>
      </c>
      <c r="T213" s="123">
        <f t="shared" si="37"/>
        <v>0.20960000000000023</v>
      </c>
      <c r="U213" s="123">
        <f t="shared" si="37"/>
        <v>0.20960000000000023</v>
      </c>
      <c r="V213" s="123">
        <f t="shared" si="37"/>
        <v>0.20960000000000023</v>
      </c>
      <c r="W213" s="123">
        <f t="shared" si="37"/>
        <v>0.20960000000000023</v>
      </c>
      <c r="X213" s="123">
        <f t="shared" si="37"/>
        <v>0.20960000000000023</v>
      </c>
      <c r="Y213" s="123">
        <f t="shared" si="37"/>
        <v>0.20960000000000023</v>
      </c>
      <c r="Z213" s="123">
        <f t="shared" si="37"/>
        <v>0.20960000000000023</v>
      </c>
      <c r="AA213" s="123">
        <f t="shared" si="37"/>
        <v>0.20960000000000023</v>
      </c>
      <c r="AB213" s="123">
        <f t="shared" si="37"/>
        <v>0.20960000000000023</v>
      </c>
      <c r="AC213" s="123">
        <f t="shared" si="37"/>
        <v>0.20960000000000023</v>
      </c>
      <c r="AD213" s="123">
        <f t="shared" si="37"/>
        <v>0.20960000000000023</v>
      </c>
      <c r="AE213" s="123">
        <f t="shared" si="37"/>
        <v>0.20960000000000023</v>
      </c>
      <c r="AF213" s="123">
        <f t="shared" si="37"/>
        <v>0.20960000000000023</v>
      </c>
    </row>
    <row r="214" spans="1:32" x14ac:dyDescent="0.2">
      <c r="A214" s="120" t="s">
        <v>157</v>
      </c>
      <c r="B214" s="122"/>
      <c r="C214" s="123">
        <f>AVERAGE(C213:AF213)</f>
        <v>0.18007674647938715</v>
      </c>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c r="AA214" s="123"/>
      <c r="AB214" s="123"/>
      <c r="AC214" s="123"/>
      <c r="AD214" s="123"/>
      <c r="AE214" s="123"/>
      <c r="AF214" s="123"/>
    </row>
    <row r="215" spans="1:32" x14ac:dyDescent="0.2">
      <c r="A215" s="121" t="s">
        <v>158</v>
      </c>
      <c r="B215" s="124">
        <f>NPV(C214,D203:AF203)+C203</f>
        <v>-166480.96687196678</v>
      </c>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c r="AA215" s="123"/>
      <c r="AB215" s="123"/>
      <c r="AC215" s="123"/>
      <c r="AD215" s="123"/>
      <c r="AE215" s="123"/>
      <c r="AF215" s="123"/>
    </row>
    <row r="216" spans="1:32" x14ac:dyDescent="0.2">
      <c r="A216" s="121" t="s">
        <v>159</v>
      </c>
      <c r="B216" s="125">
        <f>IRR(C203:AF203)</f>
        <v>0.13057263609344649</v>
      </c>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c r="AA216" s="123"/>
      <c r="AB216" s="123"/>
      <c r="AC216" s="123"/>
      <c r="AD216" s="123"/>
      <c r="AE216" s="123"/>
      <c r="AF216" s="123"/>
    </row>
    <row r="217" spans="1:32" x14ac:dyDescent="0.2">
      <c r="A217" s="120" t="s">
        <v>162</v>
      </c>
      <c r="B217" s="122"/>
      <c r="C217" s="123">
        <f>C203/-C145</f>
        <v>5</v>
      </c>
      <c r="D217" s="123">
        <f>D203/-D145</f>
        <v>1.4285714285714286</v>
      </c>
      <c r="E217" s="123">
        <f>E203/-E145</f>
        <v>1</v>
      </c>
      <c r="F217" s="123">
        <f>F203/-F145</f>
        <v>0.92125321290508255</v>
      </c>
      <c r="G217" s="123">
        <f>G203/-G145</f>
        <v>1.1559019903369199</v>
      </c>
      <c r="H217" s="123">
        <f>H203/-H145</f>
        <v>1.4235939857596172</v>
      </c>
      <c r="I217" s="123">
        <f>I203/-I145</f>
        <v>1.5100777736950604</v>
      </c>
      <c r="J217" s="123">
        <f>J203/-J145</f>
        <v>0.87233329996709952</v>
      </c>
      <c r="K217" s="123">
        <f>K203/-K145</f>
        <v>0.99536015848825843</v>
      </c>
      <c r="L217" s="123">
        <f>L203/-L145</f>
        <v>1.1393763314195284</v>
      </c>
      <c r="M217" s="123">
        <f>M203/-M145</f>
        <v>1.3089256292695488</v>
      </c>
      <c r="N217" s="123">
        <f>N203/-N145</f>
        <v>1.4941195960408367</v>
      </c>
      <c r="O217" s="123">
        <f>O203/-O145</f>
        <v>1.4828379762392285</v>
      </c>
      <c r="P217" s="123">
        <f>P203/-P145</f>
        <v>1.6931950438786441</v>
      </c>
      <c r="Q217" s="123">
        <f>Q203/-Q145</f>
        <v>1.9493585960354922</v>
      </c>
      <c r="R217" s="123">
        <f>R203/-R145</f>
        <v>2.2650371244561369</v>
      </c>
      <c r="S217" s="123">
        <f>S203/-S145</f>
        <v>2.659670567360918</v>
      </c>
      <c r="T217" s="123"/>
      <c r="U217" s="123"/>
      <c r="V217" s="123"/>
      <c r="W217" s="123"/>
      <c r="X217" s="123"/>
      <c r="Y217" s="123"/>
      <c r="Z217" s="123"/>
      <c r="AA217" s="123"/>
      <c r="AB217" s="123"/>
      <c r="AC217" s="123"/>
      <c r="AD217" s="123"/>
      <c r="AE217" s="123"/>
      <c r="AF217" s="123"/>
    </row>
    <row r="218" spans="1:32" x14ac:dyDescent="0.2">
      <c r="A218" s="121" t="s">
        <v>163</v>
      </c>
      <c r="B218" s="124">
        <f>AVERAGE(C217:S217)</f>
        <v>1.6646831008484586</v>
      </c>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c r="AA218" s="123"/>
      <c r="AB218" s="123"/>
      <c r="AC218" s="123"/>
      <c r="AD218" s="123"/>
      <c r="AE218" s="123"/>
      <c r="AF218" s="123"/>
    </row>
    <row r="219" spans="1:32" x14ac:dyDescent="0.2">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row>
    <row r="220" spans="1:32" x14ac:dyDescent="0.2">
      <c r="A220" s="107" t="s">
        <v>161</v>
      </c>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row>
    <row r="221" spans="1:32" x14ac:dyDescent="0.2">
      <c r="A221" s="110" t="s">
        <v>158</v>
      </c>
      <c r="B221" s="91">
        <f>NPV(C90,D205:AF205)+C205</f>
        <v>-115688.39912308288</v>
      </c>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row>
    <row r="222" spans="1:32" x14ac:dyDescent="0.2">
      <c r="A222" s="110" t="s">
        <v>159</v>
      </c>
      <c r="B222" s="129">
        <f>IRR(C205:AF205)</f>
        <v>0.13851285220937393</v>
      </c>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row>
    <row r="223" spans="1:32" x14ac:dyDescent="0.2">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row>
    <row r="224" spans="1:32" x14ac:dyDescent="0.2">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row>
    <row r="225" spans="1:32" x14ac:dyDescent="0.2">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row>
    <row r="226" spans="1:32" ht="13" customHeight="1" x14ac:dyDescent="0.2">
      <c r="A226" s="10" t="s">
        <v>166</v>
      </c>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row>
    <row r="227" spans="1:32" x14ac:dyDescent="0.2">
      <c r="A227" t="s">
        <v>167</v>
      </c>
      <c r="B227" s="12">
        <v>0.08</v>
      </c>
      <c r="C227" s="16"/>
      <c r="D227" s="16"/>
      <c r="E227" s="16"/>
      <c r="F227" s="16"/>
      <c r="G227" s="16"/>
      <c r="H227" s="16"/>
      <c r="I227" s="16"/>
      <c r="J227" s="9"/>
      <c r="K227" s="9"/>
      <c r="L227" s="9"/>
      <c r="M227" s="9"/>
      <c r="N227" s="9"/>
      <c r="O227" s="9"/>
      <c r="P227" s="9"/>
      <c r="Q227" s="9"/>
      <c r="R227" s="9"/>
      <c r="S227" s="9"/>
      <c r="T227" s="9"/>
      <c r="U227" s="9"/>
      <c r="V227" s="9"/>
      <c r="W227" s="9"/>
      <c r="X227" s="9"/>
      <c r="Y227" s="9"/>
      <c r="Z227" s="9"/>
      <c r="AA227" s="9"/>
      <c r="AB227" s="9"/>
      <c r="AC227" s="9"/>
      <c r="AD227" s="9"/>
      <c r="AE227" s="9"/>
      <c r="AF227" s="9"/>
    </row>
    <row r="228" spans="1:32" x14ac:dyDescent="0.2">
      <c r="A228" t="s">
        <v>168</v>
      </c>
      <c r="B228" s="12">
        <v>0.03</v>
      </c>
      <c r="C228" s="16"/>
      <c r="D228" s="16"/>
      <c r="E228" s="16"/>
      <c r="F228" s="16"/>
      <c r="G228" s="16"/>
      <c r="H228" s="16"/>
      <c r="I228" s="16"/>
      <c r="J228" s="9"/>
      <c r="K228" s="9"/>
      <c r="L228" s="9"/>
      <c r="M228" s="9"/>
      <c r="N228" s="9"/>
      <c r="O228" s="9"/>
      <c r="P228" s="9"/>
      <c r="Q228" s="9"/>
      <c r="R228" s="9"/>
      <c r="S228" s="9"/>
      <c r="T228" s="9"/>
      <c r="U228" s="9"/>
      <c r="V228" s="9"/>
      <c r="W228" s="9"/>
      <c r="X228" s="9"/>
      <c r="Y228" s="9"/>
      <c r="Z228" s="9"/>
      <c r="AA228" s="9"/>
      <c r="AB228" s="9"/>
      <c r="AC228" s="9"/>
      <c r="AD228" s="9"/>
      <c r="AE228" s="9"/>
      <c r="AF228" s="9"/>
    </row>
    <row r="229" spans="1:32" x14ac:dyDescent="0.2">
      <c r="A229" t="s">
        <v>169</v>
      </c>
      <c r="B229" s="13">
        <v>25485</v>
      </c>
      <c r="C229" s="16"/>
      <c r="D229" s="16"/>
      <c r="E229" s="16"/>
      <c r="F229" s="16"/>
      <c r="G229" s="16"/>
      <c r="H229" s="16"/>
      <c r="I229" s="16"/>
      <c r="J229" s="9"/>
      <c r="K229" s="9"/>
      <c r="L229" s="9"/>
      <c r="M229" s="9"/>
      <c r="N229" s="9"/>
      <c r="O229" s="9"/>
      <c r="P229" s="9"/>
      <c r="Q229" s="9"/>
      <c r="R229" s="9"/>
      <c r="S229" s="9"/>
      <c r="T229" s="9"/>
      <c r="U229" s="9"/>
      <c r="V229" s="9"/>
      <c r="W229" s="9"/>
      <c r="X229" s="9"/>
      <c r="Y229" s="9"/>
      <c r="Z229" s="9"/>
      <c r="AA229" s="9"/>
      <c r="AB229" s="9"/>
      <c r="AC229" s="9"/>
      <c r="AD229" s="9"/>
      <c r="AE229" s="9"/>
      <c r="AF229" s="9"/>
    </row>
    <row r="230" spans="1:32" x14ac:dyDescent="0.2">
      <c r="B230" s="11"/>
      <c r="C230" s="16"/>
      <c r="D230" s="16"/>
      <c r="E230" s="16"/>
      <c r="F230" s="16"/>
      <c r="G230" s="16"/>
      <c r="H230" s="16"/>
      <c r="I230" s="16"/>
      <c r="J230" s="9"/>
      <c r="K230" s="9"/>
      <c r="L230" s="9"/>
      <c r="M230" s="9"/>
      <c r="N230" s="9"/>
      <c r="O230" s="9"/>
      <c r="P230" s="9"/>
      <c r="Q230" s="9"/>
      <c r="R230" s="9"/>
      <c r="S230" s="9"/>
      <c r="T230" s="9"/>
      <c r="U230" s="9"/>
      <c r="V230" s="9"/>
      <c r="W230" s="9"/>
      <c r="X230" s="9"/>
      <c r="Y230" s="9"/>
      <c r="Z230" s="9"/>
      <c r="AA230" s="9"/>
      <c r="AB230" s="9"/>
      <c r="AC230" s="9"/>
      <c r="AD230" s="9"/>
      <c r="AE230" s="9"/>
      <c r="AF230" s="9"/>
    </row>
    <row r="231" spans="1:32" x14ac:dyDescent="0.2">
      <c r="A231" s="3" t="s">
        <v>170</v>
      </c>
      <c r="B231" s="11"/>
      <c r="C231" s="16"/>
      <c r="D231" s="16"/>
      <c r="E231" s="16"/>
      <c r="F231" s="16"/>
      <c r="G231" s="16"/>
      <c r="H231" s="16"/>
      <c r="I231" s="16"/>
      <c r="J231" s="9"/>
      <c r="K231" s="9"/>
      <c r="L231" s="9"/>
      <c r="M231" s="9"/>
      <c r="N231" s="9"/>
      <c r="O231" s="9"/>
      <c r="P231" s="9"/>
      <c r="Q231" s="9"/>
      <c r="R231" s="9"/>
      <c r="S231" s="9"/>
      <c r="T231" s="9"/>
      <c r="U231" s="9"/>
      <c r="V231" s="9"/>
      <c r="W231" s="9"/>
      <c r="X231" s="9"/>
      <c r="Y231" s="9"/>
      <c r="Z231" s="9"/>
      <c r="AA231" s="9"/>
      <c r="AB231" s="9"/>
      <c r="AC231" s="9"/>
      <c r="AD231" s="9"/>
      <c r="AE231" s="9"/>
      <c r="AF231" s="9"/>
    </row>
    <row r="232" spans="1:32" x14ac:dyDescent="0.2">
      <c r="A232" s="1" t="s">
        <v>171</v>
      </c>
      <c r="B232" s="11"/>
      <c r="C232" s="16">
        <v>1</v>
      </c>
      <c r="D232" s="16">
        <f>C232*(1+$B$227)</f>
        <v>1.08</v>
      </c>
      <c r="E232" s="16">
        <f t="shared" ref="E232:AF232" si="38">D232*(1+$B$227)</f>
        <v>1.1664000000000001</v>
      </c>
      <c r="F232" s="16">
        <f t="shared" si="38"/>
        <v>1.2597120000000002</v>
      </c>
      <c r="G232" s="16">
        <f t="shared" si="38"/>
        <v>1.3604889600000003</v>
      </c>
      <c r="H232" s="16">
        <f t="shared" si="38"/>
        <v>1.4693280768000003</v>
      </c>
      <c r="I232" s="16">
        <f t="shared" si="38"/>
        <v>1.5868743229440005</v>
      </c>
      <c r="J232" s="16">
        <f t="shared" si="38"/>
        <v>1.7138242687795207</v>
      </c>
      <c r="K232" s="16">
        <f t="shared" si="38"/>
        <v>1.8509302102818825</v>
      </c>
      <c r="L232" s="16">
        <f t="shared" si="38"/>
        <v>1.9990046271044333</v>
      </c>
      <c r="M232" s="16">
        <f t="shared" si="38"/>
        <v>2.1589249972727882</v>
      </c>
      <c r="N232" s="16">
        <f t="shared" si="38"/>
        <v>2.3316389970546112</v>
      </c>
      <c r="O232" s="16">
        <f t="shared" si="38"/>
        <v>2.5181701168189803</v>
      </c>
      <c r="P232" s="16">
        <f t="shared" si="38"/>
        <v>2.7196237261644991</v>
      </c>
      <c r="Q232" s="16">
        <f t="shared" si="38"/>
        <v>2.9371936242576591</v>
      </c>
      <c r="R232" s="16">
        <f t="shared" si="38"/>
        <v>3.172169114198272</v>
      </c>
      <c r="S232" s="16">
        <f t="shared" si="38"/>
        <v>3.425942643334134</v>
      </c>
      <c r="T232" s="16">
        <f t="shared" si="38"/>
        <v>3.7000180548008648</v>
      </c>
      <c r="U232" s="16">
        <f t="shared" si="38"/>
        <v>3.9960194991849343</v>
      </c>
      <c r="V232" s="16">
        <f t="shared" si="38"/>
        <v>4.3157010591197293</v>
      </c>
      <c r="W232" s="16">
        <f t="shared" si="38"/>
        <v>4.6609571438493083</v>
      </c>
      <c r="X232" s="16">
        <f t="shared" si="38"/>
        <v>5.033833715357253</v>
      </c>
      <c r="Y232" s="16">
        <f t="shared" si="38"/>
        <v>5.4365404125858339</v>
      </c>
      <c r="Z232" s="16">
        <f t="shared" si="38"/>
        <v>5.8714636455927014</v>
      </c>
      <c r="AA232" s="16">
        <f t="shared" si="38"/>
        <v>6.3411807372401183</v>
      </c>
      <c r="AB232" s="16">
        <f t="shared" si="38"/>
        <v>6.8484751962193284</v>
      </c>
      <c r="AC232" s="16">
        <f t="shared" si="38"/>
        <v>7.3963532119168756</v>
      </c>
      <c r="AD232" s="16">
        <f t="shared" si="38"/>
        <v>7.9880614688702263</v>
      </c>
      <c r="AE232" s="16">
        <f t="shared" si="38"/>
        <v>8.6271063863798449</v>
      </c>
      <c r="AF232" s="16">
        <f t="shared" si="38"/>
        <v>9.3172748972902326</v>
      </c>
    </row>
    <row r="233" spans="1:32" x14ac:dyDescent="0.2">
      <c r="A233" s="1" t="s">
        <v>172</v>
      </c>
      <c r="B233" s="11"/>
      <c r="C233" s="16">
        <v>1</v>
      </c>
      <c r="D233" s="16">
        <f>C233*(1+$B$228)</f>
        <v>1.03</v>
      </c>
      <c r="E233" s="16">
        <f t="shared" ref="E233:AF233" si="39">D233*(1+$B$228)</f>
        <v>1.0609</v>
      </c>
      <c r="F233" s="16">
        <f t="shared" si="39"/>
        <v>1.092727</v>
      </c>
      <c r="G233" s="16">
        <f t="shared" si="39"/>
        <v>1.1255088100000001</v>
      </c>
      <c r="H233" s="16">
        <f t="shared" si="39"/>
        <v>1.1592740743000001</v>
      </c>
      <c r="I233" s="16">
        <f t="shared" si="39"/>
        <v>1.1940522965290001</v>
      </c>
      <c r="J233" s="16">
        <f t="shared" si="39"/>
        <v>1.2298738654248702</v>
      </c>
      <c r="K233" s="16">
        <f t="shared" si="39"/>
        <v>1.2667700813876164</v>
      </c>
      <c r="L233" s="16">
        <f t="shared" si="39"/>
        <v>1.3047731838292449</v>
      </c>
      <c r="M233" s="16">
        <f t="shared" si="39"/>
        <v>1.3439163793441222</v>
      </c>
      <c r="N233" s="16">
        <f t="shared" si="39"/>
        <v>1.3842338707244459</v>
      </c>
      <c r="O233" s="16">
        <f t="shared" si="39"/>
        <v>1.4257608868461793</v>
      </c>
      <c r="P233" s="16">
        <f t="shared" si="39"/>
        <v>1.4685337134515648</v>
      </c>
      <c r="Q233" s="16">
        <f t="shared" si="39"/>
        <v>1.5125897248551119</v>
      </c>
      <c r="R233" s="16">
        <f t="shared" si="39"/>
        <v>1.5579674166007653</v>
      </c>
      <c r="S233" s="16">
        <f t="shared" si="39"/>
        <v>1.6047064390987884</v>
      </c>
      <c r="T233" s="16">
        <f t="shared" si="39"/>
        <v>1.652847632271752</v>
      </c>
      <c r="U233" s="16">
        <f t="shared" si="39"/>
        <v>1.7024330612399046</v>
      </c>
      <c r="V233" s="16">
        <f t="shared" si="39"/>
        <v>1.7535060530771018</v>
      </c>
      <c r="W233" s="16">
        <f t="shared" si="39"/>
        <v>1.806111234669415</v>
      </c>
      <c r="X233" s="16">
        <f t="shared" si="39"/>
        <v>1.8602945717094976</v>
      </c>
      <c r="Y233" s="16">
        <f t="shared" si="39"/>
        <v>1.9161034088607827</v>
      </c>
      <c r="Z233" s="16">
        <f t="shared" si="39"/>
        <v>1.9735865111266062</v>
      </c>
      <c r="AA233" s="16">
        <f t="shared" si="39"/>
        <v>2.0327941064604045</v>
      </c>
      <c r="AB233" s="16">
        <f t="shared" si="39"/>
        <v>2.0937779296542165</v>
      </c>
      <c r="AC233" s="16">
        <f t="shared" si="39"/>
        <v>2.1565912675438432</v>
      </c>
      <c r="AD233" s="16">
        <f t="shared" si="39"/>
        <v>2.2212890055701586</v>
      </c>
      <c r="AE233" s="16">
        <f t="shared" si="39"/>
        <v>2.2879276757372633</v>
      </c>
      <c r="AF233" s="16">
        <f t="shared" si="39"/>
        <v>2.3565655060093813</v>
      </c>
    </row>
    <row r="234" spans="1:32" x14ac:dyDescent="0.2">
      <c r="A234" s="1" t="s">
        <v>173</v>
      </c>
      <c r="B234" s="11"/>
      <c r="C234" s="16">
        <f>$B$229*(C232/C233)</f>
        <v>25485</v>
      </c>
      <c r="D234" s="16">
        <f t="shared" ref="D234:AF234" si="40">$B$229*(D232/D233)</f>
        <v>26722.135922330097</v>
      </c>
      <c r="E234" s="16">
        <f t="shared" si="40"/>
        <v>28019.326986520882</v>
      </c>
      <c r="F234" s="16">
        <f t="shared" si="40"/>
        <v>29379.488490720927</v>
      </c>
      <c r="G234" s="16">
        <f t="shared" si="40"/>
        <v>30805.677252406407</v>
      </c>
      <c r="H234" s="16">
        <f t="shared" si="40"/>
        <v>32301.098478251381</v>
      </c>
      <c r="I234" s="16">
        <f t="shared" si="40"/>
        <v>33869.112967486886</v>
      </c>
      <c r="J234" s="16">
        <f t="shared" si="40"/>
        <v>35513.244664937702</v>
      </c>
      <c r="K234" s="16">
        <f t="shared" si="40"/>
        <v>37237.188580711379</v>
      </c>
      <c r="L234" s="16">
        <f t="shared" si="40"/>
        <v>39044.819094338149</v>
      </c>
      <c r="M234" s="16">
        <f t="shared" si="40"/>
        <v>40940.198662024472</v>
      </c>
      <c r="N234" s="16">
        <f t="shared" si="40"/>
        <v>42927.586946588766</v>
      </c>
      <c r="O234" s="16">
        <f t="shared" si="40"/>
        <v>45011.450390597929</v>
      </c>
      <c r="P234" s="16">
        <f t="shared" si="40"/>
        <v>47196.472254219196</v>
      </c>
      <c r="Q234" s="16">
        <f t="shared" si="40"/>
        <v>49487.563140346334</v>
      </c>
      <c r="R234" s="16">
        <f t="shared" si="40"/>
        <v>51889.872030654413</v>
      </c>
      <c r="S234" s="16">
        <f t="shared" si="40"/>
        <v>54408.797857385216</v>
      </c>
      <c r="T234" s="16">
        <f t="shared" si="40"/>
        <v>57050.001636869929</v>
      </c>
      <c r="U234" s="16">
        <f t="shared" si="40"/>
        <v>59819.419192057794</v>
      </c>
      <c r="V234" s="16">
        <f t="shared" si="40"/>
        <v>62723.274492643126</v>
      </c>
      <c r="W234" s="16">
        <f t="shared" si="40"/>
        <v>65768.093642771433</v>
      </c>
      <c r="X234" s="16">
        <f t="shared" si="40"/>
        <v>68960.719547760338</v>
      </c>
      <c r="Y234" s="16">
        <f t="shared" si="40"/>
        <v>72308.327292797243</v>
      </c>
      <c r="Z234" s="16">
        <f t="shared" si="40"/>
        <v>75818.440268175764</v>
      </c>
      <c r="AA234" s="16">
        <f t="shared" si="40"/>
        <v>79498.947077310513</v>
      </c>
      <c r="AB234" s="16">
        <f t="shared" si="40"/>
        <v>83358.119265529487</v>
      </c>
      <c r="AC234" s="16">
        <f t="shared" si="40"/>
        <v>87404.629909487223</v>
      </c>
      <c r="AD234" s="16">
        <f t="shared" si="40"/>
        <v>91647.573108976911</v>
      </c>
      <c r="AE234" s="16">
        <f t="shared" si="40"/>
        <v>96096.48442494667</v>
      </c>
      <c r="AF234" s="16">
        <f t="shared" si="40"/>
        <v>100761.3623096528</v>
      </c>
    </row>
    <row r="235" spans="1:32" x14ac:dyDescent="0.2">
      <c r="B235" s="11"/>
      <c r="C235" s="11"/>
      <c r="D235" s="11"/>
      <c r="E235" s="11"/>
      <c r="F235" s="11"/>
      <c r="G235" s="11"/>
      <c r="H235" s="11"/>
      <c r="I235" s="11"/>
    </row>
    <row r="236" spans="1:32" x14ac:dyDescent="0.2">
      <c r="B236" s="11"/>
      <c r="C236" s="11"/>
      <c r="D236" s="11"/>
      <c r="E236" s="11"/>
      <c r="F236" s="11"/>
      <c r="G236" s="11"/>
      <c r="H236" s="11"/>
      <c r="I236" s="11"/>
    </row>
    <row r="237" spans="1:32" x14ac:dyDescent="0.2">
      <c r="A237" s="3" t="s">
        <v>176</v>
      </c>
    </row>
    <row r="238" spans="1:32" x14ac:dyDescent="0.2">
      <c r="B238" s="126">
        <f>B215</f>
        <v>-166480.96687196678</v>
      </c>
      <c r="C238" s="127">
        <f>C4</f>
        <v>0.08</v>
      </c>
      <c r="D238" s="127">
        <v>0</v>
      </c>
      <c r="E238" s="127">
        <v>0.01</v>
      </c>
      <c r="F238" s="127">
        <v>0.02</v>
      </c>
      <c r="G238" s="127">
        <v>0.03</v>
      </c>
      <c r="H238" s="127">
        <v>0.04</v>
      </c>
      <c r="I238" s="127">
        <v>0.05</v>
      </c>
      <c r="J238" s="127">
        <v>0.06</v>
      </c>
      <c r="K238" s="127">
        <v>7.0000000000000007E-2</v>
      </c>
      <c r="L238" s="127">
        <v>0.08</v>
      </c>
      <c r="M238" s="127">
        <v>0.09</v>
      </c>
      <c r="N238" s="127">
        <v>0.1</v>
      </c>
      <c r="O238" s="127">
        <v>0.11</v>
      </c>
      <c r="P238" s="127">
        <v>0.12</v>
      </c>
      <c r="Q238" s="127">
        <v>0.13</v>
      </c>
      <c r="R238" s="127">
        <v>0.14000000000000001</v>
      </c>
      <c r="S238" s="128">
        <v>0.15</v>
      </c>
    </row>
    <row r="239" spans="1:32" x14ac:dyDescent="0.2">
      <c r="B239" s="55">
        <f>C5</f>
        <v>0.03</v>
      </c>
      <c r="C239" s="18">
        <f t="dataTable" ref="C239:S248" dt2D="1" dtr="1" r1="C4" r2="C5" ca="1"/>
        <v>-166480.96687196678</v>
      </c>
      <c r="D239" s="18">
        <v>65911.10496479756</v>
      </c>
      <c r="E239" s="18">
        <v>22487.544200150878</v>
      </c>
      <c r="F239" s="18">
        <v>-15588.17745996709</v>
      </c>
      <c r="G239" s="18">
        <v>-49063.635627408541</v>
      </c>
      <c r="H239" s="18">
        <v>-78570.457062206056</v>
      </c>
      <c r="I239" s="18">
        <v>-104643.72452761835</v>
      </c>
      <c r="J239" s="18">
        <v>-127737.9385353666</v>
      </c>
      <c r="K239" s="18">
        <v>-148240.17664592719</v>
      </c>
      <c r="L239" s="18">
        <v>-166480.96687196678</v>
      </c>
      <c r="M239" s="18">
        <v>-182743.29252675039</v>
      </c>
      <c r="N239" s="18">
        <v>-197270.06640296491</v>
      </c>
      <c r="O239" s="18">
        <v>-210270.34840072063</v>
      </c>
      <c r="P239" s="18">
        <v>-221924.52944583926</v>
      </c>
      <c r="Q239" s="18">
        <v>-232388.66322275976</v>
      </c>
      <c r="R239" s="18">
        <v>-241798.09388968916</v>
      </c>
      <c r="S239" s="29">
        <v>-250270.50096038191</v>
      </c>
    </row>
    <row r="240" spans="1:32" x14ac:dyDescent="0.2">
      <c r="B240" s="55">
        <v>0</v>
      </c>
      <c r="C240" s="18">
        <v>-250270.50096038191</v>
      </c>
      <c r="D240" s="18">
        <v>65911.10496479756</v>
      </c>
      <c r="E240" s="18">
        <v>22487.544200150878</v>
      </c>
      <c r="F240" s="18">
        <v>-15588.17745996709</v>
      </c>
      <c r="G240" s="18">
        <v>-49063.635627408541</v>
      </c>
      <c r="H240" s="18">
        <v>-78570.457062206056</v>
      </c>
      <c r="I240" s="18">
        <v>-104643.72452761835</v>
      </c>
      <c r="J240" s="18">
        <v>-127737.9385353666</v>
      </c>
      <c r="K240" s="18">
        <v>-148240.17664592719</v>
      </c>
      <c r="L240" s="18">
        <v>-166480.96687196678</v>
      </c>
      <c r="M240" s="18">
        <v>-182743.29252675039</v>
      </c>
      <c r="N240" s="18">
        <v>-197270.06640296491</v>
      </c>
      <c r="O240" s="18">
        <v>-210270.34840072063</v>
      </c>
      <c r="P240" s="18">
        <v>-221924.52944583926</v>
      </c>
      <c r="Q240" s="18">
        <v>-232388.66322275976</v>
      </c>
      <c r="R240" s="18">
        <v>-241798.09388968916</v>
      </c>
      <c r="S240" s="29">
        <v>-250270.50096038191</v>
      </c>
    </row>
    <row r="241" spans="2:19" x14ac:dyDescent="0.2">
      <c r="B241" s="55">
        <v>0.01</v>
      </c>
      <c r="C241" s="18">
        <v>-250270.50096038191</v>
      </c>
      <c r="D241" s="18">
        <v>65911.10496479756</v>
      </c>
      <c r="E241" s="18">
        <v>22487.544200150878</v>
      </c>
      <c r="F241" s="18">
        <v>-15588.17745996709</v>
      </c>
      <c r="G241" s="18">
        <v>-49063.635627408541</v>
      </c>
      <c r="H241" s="18">
        <v>-78570.457062206056</v>
      </c>
      <c r="I241" s="18">
        <v>-104643.72452761835</v>
      </c>
      <c r="J241" s="18">
        <v>-127737.9385353666</v>
      </c>
      <c r="K241" s="18">
        <v>-148240.17664592719</v>
      </c>
      <c r="L241" s="18">
        <v>-166480.96687196678</v>
      </c>
      <c r="M241" s="18">
        <v>-182743.29252675039</v>
      </c>
      <c r="N241" s="18">
        <v>-197270.06640296491</v>
      </c>
      <c r="O241" s="18">
        <v>-210270.34840072063</v>
      </c>
      <c r="P241" s="18">
        <v>-221924.52944583926</v>
      </c>
      <c r="Q241" s="18">
        <v>-232388.66322275976</v>
      </c>
      <c r="R241" s="18">
        <v>-241798.09388968916</v>
      </c>
      <c r="S241" s="29">
        <v>-250270.50096038191</v>
      </c>
    </row>
    <row r="242" spans="2:19" x14ac:dyDescent="0.2">
      <c r="B242" s="55">
        <v>0.02</v>
      </c>
      <c r="C242" s="18">
        <v>-250270.50096038191</v>
      </c>
      <c r="D242" s="18">
        <v>65911.10496479756</v>
      </c>
      <c r="E242" s="18">
        <v>22487.544200150878</v>
      </c>
      <c r="F242" s="18">
        <v>-15588.17745996709</v>
      </c>
      <c r="G242" s="18">
        <v>-49063.635627408541</v>
      </c>
      <c r="H242" s="18">
        <v>-78570.457062206056</v>
      </c>
      <c r="I242" s="18">
        <v>-104643.72452761835</v>
      </c>
      <c r="J242" s="18">
        <v>-127737.9385353666</v>
      </c>
      <c r="K242" s="18">
        <v>-148240.17664592719</v>
      </c>
      <c r="L242" s="18">
        <v>-166480.96687196678</v>
      </c>
      <c r="M242" s="18">
        <v>-182743.29252675039</v>
      </c>
      <c r="N242" s="18">
        <v>-197270.06640296491</v>
      </c>
      <c r="O242" s="18">
        <v>-210270.34840072063</v>
      </c>
      <c r="P242" s="18">
        <v>-221924.52944583926</v>
      </c>
      <c r="Q242" s="18">
        <v>-232388.66322275976</v>
      </c>
      <c r="R242" s="18">
        <v>-241798.09388968916</v>
      </c>
      <c r="S242" s="29">
        <v>-250270.50096038191</v>
      </c>
    </row>
    <row r="243" spans="2:19" x14ac:dyDescent="0.2">
      <c r="B243" s="55">
        <v>0.03</v>
      </c>
      <c r="C243" s="18">
        <v>-250270.50096038191</v>
      </c>
      <c r="D243" s="18">
        <v>65911.10496479756</v>
      </c>
      <c r="E243" s="18">
        <v>22487.544200150878</v>
      </c>
      <c r="F243" s="18">
        <v>-15588.17745996709</v>
      </c>
      <c r="G243" s="18">
        <v>-49063.635627408541</v>
      </c>
      <c r="H243" s="18">
        <v>-78570.457062206056</v>
      </c>
      <c r="I243" s="18">
        <v>-104643.72452761835</v>
      </c>
      <c r="J243" s="18">
        <v>-127737.9385353666</v>
      </c>
      <c r="K243" s="18">
        <v>-148240.17664592719</v>
      </c>
      <c r="L243" s="18">
        <v>-166480.96687196678</v>
      </c>
      <c r="M243" s="18">
        <v>-182743.29252675039</v>
      </c>
      <c r="N243" s="18">
        <v>-197270.06640296491</v>
      </c>
      <c r="O243" s="18">
        <v>-210270.34840072063</v>
      </c>
      <c r="P243" s="18">
        <v>-221924.52944583926</v>
      </c>
      <c r="Q243" s="18">
        <v>-232388.66322275976</v>
      </c>
      <c r="R243" s="18">
        <v>-241798.09388968916</v>
      </c>
      <c r="S243" s="29">
        <v>-250270.50096038191</v>
      </c>
    </row>
    <row r="244" spans="2:19" x14ac:dyDescent="0.2">
      <c r="B244" s="55">
        <v>0.04</v>
      </c>
      <c r="C244" s="18">
        <v>-250270.50096038191</v>
      </c>
      <c r="D244" s="18">
        <v>65911.10496479756</v>
      </c>
      <c r="E244" s="18">
        <v>22487.544200150878</v>
      </c>
      <c r="F244" s="18">
        <v>-15588.17745996709</v>
      </c>
      <c r="G244" s="18">
        <v>-49063.635627408541</v>
      </c>
      <c r="H244" s="18">
        <v>-78570.457062206056</v>
      </c>
      <c r="I244" s="18">
        <v>-104643.72452761835</v>
      </c>
      <c r="J244" s="18">
        <v>-127737.9385353666</v>
      </c>
      <c r="K244" s="18">
        <v>-148240.17664592719</v>
      </c>
      <c r="L244" s="18">
        <v>-166480.96687196678</v>
      </c>
      <c r="M244" s="18">
        <v>-182743.29252675039</v>
      </c>
      <c r="N244" s="18">
        <v>-197270.06640296491</v>
      </c>
      <c r="O244" s="18">
        <v>-210270.34840072063</v>
      </c>
      <c r="P244" s="18">
        <v>-221924.52944583926</v>
      </c>
      <c r="Q244" s="18">
        <v>-232388.66322275976</v>
      </c>
      <c r="R244" s="18">
        <v>-241798.09388968916</v>
      </c>
      <c r="S244" s="29">
        <v>-250270.50096038191</v>
      </c>
    </row>
    <row r="245" spans="2:19" x14ac:dyDescent="0.2">
      <c r="B245" s="55">
        <v>0.05</v>
      </c>
      <c r="C245" s="18">
        <v>-250270.50096038191</v>
      </c>
      <c r="D245" s="18">
        <v>65911.10496479756</v>
      </c>
      <c r="E245" s="18">
        <v>22487.544200150878</v>
      </c>
      <c r="F245" s="18">
        <v>-15588.17745996709</v>
      </c>
      <c r="G245" s="18">
        <v>-49063.635627408541</v>
      </c>
      <c r="H245" s="18">
        <v>-78570.457062206056</v>
      </c>
      <c r="I245" s="18">
        <v>-104643.72452761835</v>
      </c>
      <c r="J245" s="18">
        <v>-127737.9385353666</v>
      </c>
      <c r="K245" s="18">
        <v>-148240.17664592719</v>
      </c>
      <c r="L245" s="18">
        <v>-166480.96687196678</v>
      </c>
      <c r="M245" s="18">
        <v>-182743.29252675039</v>
      </c>
      <c r="N245" s="18">
        <v>-197270.06640296491</v>
      </c>
      <c r="O245" s="18">
        <v>-210270.34840072063</v>
      </c>
      <c r="P245" s="18">
        <v>-221924.52944583926</v>
      </c>
      <c r="Q245" s="18">
        <v>-232388.66322275976</v>
      </c>
      <c r="R245" s="18">
        <v>-241798.09388968916</v>
      </c>
      <c r="S245" s="29">
        <v>-250270.50096038191</v>
      </c>
    </row>
    <row r="246" spans="2:19" x14ac:dyDescent="0.2">
      <c r="B246" s="55">
        <v>0.06</v>
      </c>
      <c r="C246" s="18">
        <v>-250270.50096038191</v>
      </c>
      <c r="D246" s="18">
        <v>65911.10496479756</v>
      </c>
      <c r="E246" s="18">
        <v>22487.544200150878</v>
      </c>
      <c r="F246" s="18">
        <v>-15588.17745996709</v>
      </c>
      <c r="G246" s="18">
        <v>-49063.635627408541</v>
      </c>
      <c r="H246" s="18">
        <v>-78570.457062206056</v>
      </c>
      <c r="I246" s="18">
        <v>-104643.72452761835</v>
      </c>
      <c r="J246" s="18">
        <v>-127737.9385353666</v>
      </c>
      <c r="K246" s="18">
        <v>-148240.17664592719</v>
      </c>
      <c r="L246" s="18">
        <v>-166480.96687196678</v>
      </c>
      <c r="M246" s="18">
        <v>-182743.29252675039</v>
      </c>
      <c r="N246" s="18">
        <v>-197270.06640296491</v>
      </c>
      <c r="O246" s="18">
        <v>-210270.34840072063</v>
      </c>
      <c r="P246" s="18">
        <v>-221924.52944583926</v>
      </c>
      <c r="Q246" s="18">
        <v>-232388.66322275976</v>
      </c>
      <c r="R246" s="18">
        <v>-241798.09388968916</v>
      </c>
      <c r="S246" s="29">
        <v>-250270.50096038191</v>
      </c>
    </row>
    <row r="247" spans="2:19" x14ac:dyDescent="0.2">
      <c r="B247" s="55">
        <v>7.0000000000000007E-2</v>
      </c>
      <c r="C247" s="18">
        <v>-250270.50096038191</v>
      </c>
      <c r="D247" s="18">
        <v>65911.10496479756</v>
      </c>
      <c r="E247" s="18">
        <v>22487.544200150878</v>
      </c>
      <c r="F247" s="18">
        <v>-15588.17745996709</v>
      </c>
      <c r="G247" s="18">
        <v>-49063.635627408541</v>
      </c>
      <c r="H247" s="18">
        <v>-78570.457062206056</v>
      </c>
      <c r="I247" s="18">
        <v>-104643.72452761835</v>
      </c>
      <c r="J247" s="18">
        <v>-127737.9385353666</v>
      </c>
      <c r="K247" s="18">
        <v>-148240.17664592719</v>
      </c>
      <c r="L247" s="18">
        <v>-166480.96687196678</v>
      </c>
      <c r="M247" s="18">
        <v>-182743.29252675039</v>
      </c>
      <c r="N247" s="18">
        <v>-197270.06640296491</v>
      </c>
      <c r="O247" s="18">
        <v>-210270.34840072063</v>
      </c>
      <c r="P247" s="18">
        <v>-221924.52944583926</v>
      </c>
      <c r="Q247" s="18">
        <v>-232388.66322275976</v>
      </c>
      <c r="R247" s="18">
        <v>-241798.09388968916</v>
      </c>
      <c r="S247" s="29">
        <v>-250270.50096038191</v>
      </c>
    </row>
    <row r="248" spans="2:19" x14ac:dyDescent="0.2">
      <c r="B248" s="56">
        <v>0.08</v>
      </c>
      <c r="C248" s="23">
        <v>-250270.50096038191</v>
      </c>
      <c r="D248" s="23">
        <v>65911.10496479756</v>
      </c>
      <c r="E248" s="23">
        <v>22487.544200150878</v>
      </c>
      <c r="F248" s="23">
        <v>-15588.17745996709</v>
      </c>
      <c r="G248" s="23">
        <v>-49063.635627408541</v>
      </c>
      <c r="H248" s="23">
        <v>-78570.457062206056</v>
      </c>
      <c r="I248" s="23">
        <v>-104643.72452761835</v>
      </c>
      <c r="J248" s="23">
        <v>-127737.9385353666</v>
      </c>
      <c r="K248" s="23">
        <v>-148240.17664592719</v>
      </c>
      <c r="L248" s="23">
        <v>-166480.96687196678</v>
      </c>
      <c r="M248" s="23">
        <v>-182743.29252675039</v>
      </c>
      <c r="N248" s="23">
        <v>-197270.06640296491</v>
      </c>
      <c r="O248" s="23">
        <v>-210270.34840072063</v>
      </c>
      <c r="P248" s="23">
        <v>-221924.52944583926</v>
      </c>
      <c r="Q248" s="23">
        <v>-232388.66322275976</v>
      </c>
      <c r="R248" s="23">
        <v>-241798.09388968916</v>
      </c>
      <c r="S248" s="34">
        <v>-250270.50096038191</v>
      </c>
    </row>
    <row r="249" spans="2:19" x14ac:dyDescent="0.2">
      <c r="B249" s="6"/>
    </row>
    <row r="250" spans="2:19" x14ac:dyDescent="0.2">
      <c r="B250" s="24" t="s">
        <v>184</v>
      </c>
      <c r="D250" s="25"/>
      <c r="E250" s="25"/>
      <c r="F250" s="25"/>
      <c r="G250" s="25"/>
      <c r="H250" s="25"/>
      <c r="I250" s="25"/>
      <c r="J250" s="25"/>
      <c r="K250" s="25"/>
      <c r="L250" s="25"/>
      <c r="M250" s="25"/>
      <c r="N250" s="27"/>
    </row>
    <row r="251" spans="2:19" x14ac:dyDescent="0.2">
      <c r="B251" s="93" t="s">
        <v>185</v>
      </c>
      <c r="D251" s="23"/>
      <c r="E251" s="23"/>
      <c r="F251" s="23"/>
      <c r="G251" s="23"/>
      <c r="H251" s="23"/>
      <c r="I251" s="23"/>
      <c r="J251" s="23"/>
      <c r="K251" s="23"/>
      <c r="L251" s="23"/>
      <c r="M251" s="23"/>
      <c r="N251" s="34"/>
    </row>
    <row r="252" spans="2:19" x14ac:dyDescent="0.2">
      <c r="B252" s="6"/>
    </row>
    <row r="253" spans="2:19" x14ac:dyDescent="0.2">
      <c r="B253" s="6"/>
    </row>
    <row r="254" spans="2:19" x14ac:dyDescent="0.2">
      <c r="B254" s="6"/>
    </row>
  </sheetData>
  <mergeCells count="2">
    <mergeCell ref="D8:D9"/>
    <mergeCell ref="A3:E3"/>
  </mergeCells>
  <conditionalFormatting sqref="C239:S248">
    <cfRule type="cellIs" dxfId="0"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câu 1-6</vt:lpstr>
      <vt:lpstr>câu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Quỳnh Trâm (31231027362)</dc:creator>
  <cp:lastModifiedBy>Nguyễn Thị Quỳnh Trâm (31231027362)</cp:lastModifiedBy>
  <dcterms:created xsi:type="dcterms:W3CDTF">2026-04-20T11:24:08Z</dcterms:created>
  <dcterms:modified xsi:type="dcterms:W3CDTF">2026-04-21T09:05:05Z</dcterms:modified>
</cp:coreProperties>
</file>